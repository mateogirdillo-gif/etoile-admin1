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INVENTARIO" sheetId="1" state="visible" r:id="rId1"/>
    <sheet name="VENTAS" sheetId="2" state="visible" r:id="rId2"/>
    <sheet name="HISTORI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\%"/>
    <numFmt numFmtId="166" formatCode="dd/mm/yyyy"/>
    <numFmt numFmtId="167" formatCode="_ &quot;$&quot;* #,##0.00_ ;_ &quot;$&quot;* \-#,##0.00_ ;_ &quot;$&quot;* &quot;-&quot;??_ ;_ @_ "/>
  </numFmts>
  <fonts count="11">
    <font>
      <name val="Calibri"/>
      <charset val="1"/>
      <family val="2"/>
      <color theme="1"/>
      <sz val="11"/>
    </font>
    <font>
      <name val="Arial"/>
      <charset val="1"/>
      <b val="1"/>
      <color rgb="FFE8A1AC"/>
      <sz val="16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i val="1"/>
      <sz val="10"/>
    </font>
    <font>
      <name val="Arial"/>
      <charset val="1"/>
      <b val="1"/>
      <sz val="12"/>
    </font>
    <font>
      <name val="Arial"/>
      <family val="2"/>
      <b val="1"/>
      <color rgb="FFFFFFFF"/>
      <sz val="11"/>
    </font>
    <font>
      <name val="Calibri"/>
      <family val="2"/>
      <color rgb="FF000000"/>
      <sz val="11"/>
    </font>
    <font>
      <name val="Arial"/>
      <family val="2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8A1AC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9C4"/>
      </patternFill>
    </fill>
    <fill>
      <patternFill patternType="solid">
        <fgColor rgb="00E8A1AC"/>
        <bgColor rgb="00E8A1A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165" fontId="0" fillId="3" borderId="1" pivotButton="0" quotePrefix="0" xfId="0"/>
    <xf numFmtId="164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  <xf numFmtId="166" fontId="0" fillId="3" borderId="1" pivotButton="0" quotePrefix="0" xfId="0"/>
    <xf numFmtId="164" fontId="3" fillId="0" borderId="1" pivotButton="0" quotePrefix="0" xfId="0"/>
    <xf numFmtId="0" fontId="7" fillId="2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9" fillId="0" borderId="1" pivotButton="0" quotePrefix="0" xfId="0"/>
    <xf numFmtId="0" fontId="9" fillId="0" borderId="2" pivotButton="0" quotePrefix="0" xfId="0"/>
    <xf numFmtId="0" fontId="9" fillId="0" borderId="0" pivotButton="0" quotePrefix="0" xfId="0"/>
    <xf numFmtId="0" fontId="10" fillId="5" borderId="0" pivotButton="0" quotePrefix="0" xfId="0"/>
    <xf numFmtId="167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A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F123"/>
  <sheetViews>
    <sheetView showGridLines="0" tabSelected="1" topLeftCell="A78" zoomScaleNormal="100" workbookViewId="0">
      <selection activeCell="A108" sqref="A108"/>
    </sheetView>
  </sheetViews>
  <sheetFormatPr baseColWidth="10" defaultColWidth="8.7109375" defaultRowHeight="15"/>
  <cols>
    <col width="16" customWidth="1" min="1" max="1"/>
    <col width="20" customWidth="1" min="2" max="2"/>
    <col width="12" customWidth="1" min="3" max="3"/>
    <col width="10" customWidth="1" min="4" max="5"/>
    <col width="12" customWidth="1" min="6" max="6"/>
  </cols>
  <sheetData>
    <row r="1" ht="20.25" customHeight="1">
      <c r="A1" s="22" t="inlineStr">
        <is>
          <t>INVENTARIO ÉTOILE</t>
        </is>
      </c>
    </row>
    <row r="3">
      <c r="A3" s="1" t="inlineStr">
        <is>
          <t>CODIGO</t>
        </is>
      </c>
      <c r="B3" s="1" t="inlineStr">
        <is>
          <t>PRENDA</t>
        </is>
      </c>
      <c r="C3" s="1" t="inlineStr">
        <is>
          <t>COLOR</t>
        </is>
      </c>
      <c r="D3" s="1" t="inlineStr">
        <is>
          <t>TALLA</t>
        </is>
      </c>
      <c r="E3" s="20" t="inlineStr">
        <is>
          <t>PRECIO</t>
        </is>
      </c>
      <c r="F3" s="28" t="inlineStr">
        <is>
          <t>STOCK</t>
        </is>
      </c>
    </row>
    <row r="4">
      <c r="A4" s="2" t="inlineStr">
        <is>
          <t>BLEL-VI-S</t>
        </is>
      </c>
      <c r="B4" s="2" t="inlineStr">
        <is>
          <t>Blusa Eliana</t>
        </is>
      </c>
      <c r="C4" s="2" t="inlineStr">
        <is>
          <t>Vino</t>
        </is>
      </c>
      <c r="D4" s="2" t="inlineStr">
        <is>
          <t>S</t>
        </is>
      </c>
      <c r="E4" s="29" t="n">
        <v>8</v>
      </c>
      <c r="F4" t="n">
        <v>0</v>
      </c>
    </row>
    <row r="5">
      <c r="A5" s="2" t="inlineStr">
        <is>
          <t>BLEL-VI-M</t>
        </is>
      </c>
      <c r="B5" s="2" t="inlineStr">
        <is>
          <t>Blusa Eliana</t>
        </is>
      </c>
      <c r="C5" s="2" t="inlineStr">
        <is>
          <t>Vino</t>
        </is>
      </c>
      <c r="D5" s="2" t="inlineStr">
        <is>
          <t>M</t>
        </is>
      </c>
      <c r="E5" s="29" t="n">
        <v>8</v>
      </c>
      <c r="F5" t="n">
        <v>0</v>
      </c>
    </row>
    <row r="6">
      <c r="A6" s="2" t="inlineStr">
        <is>
          <t>BLAN-NE-S</t>
        </is>
      </c>
      <c r="B6" s="2" t="inlineStr">
        <is>
          <t>Blusa Ana</t>
        </is>
      </c>
      <c r="C6" s="2" t="inlineStr">
        <is>
          <t>Negro</t>
        </is>
      </c>
      <c r="D6" s="2" t="inlineStr">
        <is>
          <t>S</t>
        </is>
      </c>
      <c r="E6" s="29" t="n">
        <v>6</v>
      </c>
      <c r="F6" t="n">
        <v>98</v>
      </c>
    </row>
    <row r="7">
      <c r="A7" s="2" t="inlineStr">
        <is>
          <t>BLAN-NE-M</t>
        </is>
      </c>
      <c r="B7" s="2" t="inlineStr">
        <is>
          <t>Blusa Ana</t>
        </is>
      </c>
      <c r="C7" s="2" t="inlineStr">
        <is>
          <t>Negro</t>
        </is>
      </c>
      <c r="D7" s="2" t="inlineStr">
        <is>
          <t>M</t>
        </is>
      </c>
      <c r="E7" s="29" t="n">
        <v>6</v>
      </c>
      <c r="F7" t="n">
        <v>99</v>
      </c>
    </row>
    <row r="8">
      <c r="A8" s="2" t="inlineStr">
        <is>
          <t>BLAN-RO-S</t>
        </is>
      </c>
      <c r="B8" s="2" t="inlineStr">
        <is>
          <t>Blusa Ana</t>
        </is>
      </c>
      <c r="C8" s="2" t="inlineStr">
        <is>
          <t>Palo de Rosa</t>
        </is>
      </c>
      <c r="D8" s="2" t="inlineStr">
        <is>
          <t>S</t>
        </is>
      </c>
      <c r="E8" s="29" t="n">
        <v>6</v>
      </c>
      <c r="F8" t="n">
        <v>98</v>
      </c>
    </row>
    <row r="9">
      <c r="A9" s="2" t="inlineStr">
        <is>
          <t>BLAN-RO-M</t>
        </is>
      </c>
      <c r="B9" s="2" t="inlineStr">
        <is>
          <t>Blusa Ana</t>
        </is>
      </c>
      <c r="C9" s="2" t="inlineStr">
        <is>
          <t>Palo de Rosa</t>
        </is>
      </c>
      <c r="D9" s="2" t="inlineStr">
        <is>
          <t>M</t>
        </is>
      </c>
      <c r="E9" s="29" t="n">
        <v>6</v>
      </c>
      <c r="F9" t="n">
        <v>98</v>
      </c>
    </row>
    <row r="10">
      <c r="A10" s="2" t="inlineStr">
        <is>
          <t>BLAN-BC-S</t>
        </is>
      </c>
      <c r="B10" s="2" t="inlineStr">
        <is>
          <t>Blusa Ana</t>
        </is>
      </c>
      <c r="C10" s="2" t="inlineStr">
        <is>
          <t>Blanco</t>
        </is>
      </c>
      <c r="D10" s="2" t="inlineStr">
        <is>
          <t>S</t>
        </is>
      </c>
      <c r="E10" s="29" t="n">
        <v>6</v>
      </c>
      <c r="F10" t="n">
        <v>0</v>
      </c>
    </row>
    <row r="11">
      <c r="A11" s="2" t="inlineStr">
        <is>
          <t>BLAN-BC-M</t>
        </is>
      </c>
      <c r="B11" s="2" t="inlineStr">
        <is>
          <t>Blusa Ana</t>
        </is>
      </c>
      <c r="C11" s="2" t="inlineStr">
        <is>
          <t>Blanco</t>
        </is>
      </c>
      <c r="D11" s="2" t="inlineStr">
        <is>
          <t>M</t>
        </is>
      </c>
      <c r="E11" s="29" t="n">
        <v>6</v>
      </c>
      <c r="F11" t="n">
        <v>0</v>
      </c>
    </row>
    <row r="12">
      <c r="A12" s="2" t="inlineStr">
        <is>
          <t>BLKC-RO-S</t>
        </is>
      </c>
      <c r="B12" s="2" t="inlineStr">
        <is>
          <t>Blusa Kaila Crop</t>
        </is>
      </c>
      <c r="C12" s="2" t="inlineStr">
        <is>
          <t>Rosa Pastel</t>
        </is>
      </c>
      <c r="D12" s="2" t="inlineStr">
        <is>
          <t>S</t>
        </is>
      </c>
      <c r="E12" s="29" t="n">
        <v>6</v>
      </c>
      <c r="F12" t="n">
        <v>0</v>
      </c>
    </row>
    <row r="13">
      <c r="A13" s="2" t="inlineStr">
        <is>
          <t>BLKC-RO-M</t>
        </is>
      </c>
      <c r="B13" s="2" t="inlineStr">
        <is>
          <t>Blusa Kaila Crop</t>
        </is>
      </c>
      <c r="C13" s="2" t="inlineStr">
        <is>
          <t>Rosa Pastel</t>
        </is>
      </c>
      <c r="D13" s="2" t="inlineStr">
        <is>
          <t>M</t>
        </is>
      </c>
      <c r="E13" s="29" t="n">
        <v>6</v>
      </c>
      <c r="F13" t="n">
        <v>0</v>
      </c>
    </row>
    <row r="14">
      <c r="A14" s="2" t="inlineStr">
        <is>
          <t>BLNH-NE-S</t>
        </is>
      </c>
      <c r="B14" s="2" t="inlineStr">
        <is>
          <t>Blusa Naho</t>
        </is>
      </c>
      <c r="C14" s="2" t="inlineStr">
        <is>
          <t>Negro</t>
        </is>
      </c>
      <c r="D14" s="2" t="inlineStr">
        <is>
          <t>S</t>
        </is>
      </c>
      <c r="E14" s="29" t="n">
        <v>8</v>
      </c>
      <c r="F14" t="n">
        <v>0</v>
      </c>
    </row>
    <row r="15">
      <c r="A15" s="2" t="inlineStr">
        <is>
          <t>BLNH-NE-M</t>
        </is>
      </c>
      <c r="B15" s="2" t="inlineStr">
        <is>
          <t>Blusa Naho</t>
        </is>
      </c>
      <c r="C15" s="2" t="inlineStr">
        <is>
          <t>Negro</t>
        </is>
      </c>
      <c r="D15" s="2" t="inlineStr">
        <is>
          <t>M</t>
        </is>
      </c>
      <c r="E15" s="29" t="n">
        <v>8</v>
      </c>
      <c r="F15" t="n">
        <v>0</v>
      </c>
    </row>
    <row r="16">
      <c r="A16" s="2" t="inlineStr">
        <is>
          <t>BLNH-CF-S</t>
        </is>
      </c>
      <c r="B16" s="2" t="inlineStr">
        <is>
          <t>Blusa Naho</t>
        </is>
      </c>
      <c r="C16" s="2" t="inlineStr">
        <is>
          <t>Café</t>
        </is>
      </c>
      <c r="D16" s="2" t="inlineStr">
        <is>
          <t>S</t>
        </is>
      </c>
      <c r="E16" s="29" t="n">
        <v>8</v>
      </c>
      <c r="F16" t="n">
        <v>0</v>
      </c>
    </row>
    <row r="17">
      <c r="A17" s="2" t="inlineStr">
        <is>
          <t>BLNH-CF-M</t>
        </is>
      </c>
      <c r="B17" s="2" t="inlineStr">
        <is>
          <t>Blusa Naho</t>
        </is>
      </c>
      <c r="C17" s="2" t="inlineStr">
        <is>
          <t>Café</t>
        </is>
      </c>
      <c r="D17" s="2" t="inlineStr">
        <is>
          <t>M</t>
        </is>
      </c>
      <c r="E17" s="29" t="n">
        <v>8</v>
      </c>
      <c r="F17" t="n">
        <v>0</v>
      </c>
    </row>
    <row r="18">
      <c r="A18" s="2" t="inlineStr">
        <is>
          <t>BLNH-CB-S</t>
        </is>
      </c>
      <c r="B18" s="2" t="inlineStr">
        <is>
          <t>Blusa Naho</t>
        </is>
      </c>
      <c r="C18" s="2" t="inlineStr">
        <is>
          <t>Cebra</t>
        </is>
      </c>
      <c r="D18" s="2" t="inlineStr">
        <is>
          <t>S</t>
        </is>
      </c>
      <c r="E18" s="29" t="n">
        <v>8</v>
      </c>
      <c r="F18" t="n">
        <v>0</v>
      </c>
    </row>
    <row r="19">
      <c r="A19" s="2" t="inlineStr">
        <is>
          <t>BLNH-CB-M</t>
        </is>
      </c>
      <c r="B19" s="2" t="inlineStr">
        <is>
          <t>Blusa Naho</t>
        </is>
      </c>
      <c r="C19" s="2" t="inlineStr">
        <is>
          <t>Cebra</t>
        </is>
      </c>
      <c r="D19" s="2" t="inlineStr">
        <is>
          <t>M</t>
        </is>
      </c>
      <c r="E19" s="29" t="n">
        <v>8</v>
      </c>
      <c r="F19" t="n">
        <v>0</v>
      </c>
    </row>
    <row r="20">
      <c r="A20" s="2" t="inlineStr">
        <is>
          <t>BZSL-BC-ET</t>
        </is>
      </c>
      <c r="B20" s="2" t="inlineStr">
        <is>
          <t>Buzo Sol</t>
        </is>
      </c>
      <c r="C20" s="2" t="inlineStr">
        <is>
          <t>Blanco</t>
        </is>
      </c>
      <c r="D20" s="2" t="inlineStr">
        <is>
          <t>Estandar</t>
        </is>
      </c>
      <c r="E20" s="29" t="n">
        <v>9.5</v>
      </c>
      <c r="F20" t="n">
        <v>0</v>
      </c>
    </row>
    <row r="21">
      <c r="A21" s="2" t="inlineStr">
        <is>
          <t>BZCM-NE-S</t>
        </is>
      </c>
      <c r="B21" s="2" t="inlineStr">
        <is>
          <t>Buzo Carmen</t>
        </is>
      </c>
      <c r="C21" s="2" t="inlineStr">
        <is>
          <t>Negro</t>
        </is>
      </c>
      <c r="D21" s="2" t="inlineStr">
        <is>
          <t>S</t>
        </is>
      </c>
      <c r="E21" s="29" t="n">
        <v>9</v>
      </c>
      <c r="F21" t="n">
        <v>0</v>
      </c>
    </row>
    <row r="22">
      <c r="A22" s="2" t="inlineStr">
        <is>
          <t>BZCM-NE-M</t>
        </is>
      </c>
      <c r="B22" s="2" t="inlineStr">
        <is>
          <t>Buzo Carmen</t>
        </is>
      </c>
      <c r="C22" s="2" t="inlineStr">
        <is>
          <t>Negro</t>
        </is>
      </c>
      <c r="D22" s="2" t="inlineStr">
        <is>
          <t>M</t>
        </is>
      </c>
      <c r="E22" s="29" t="n">
        <v>9</v>
      </c>
      <c r="F22" t="n">
        <v>0</v>
      </c>
    </row>
    <row r="23">
      <c r="A23" s="2" t="inlineStr">
        <is>
          <t>BZCM-BC-S</t>
        </is>
      </c>
      <c r="B23" s="2" t="inlineStr">
        <is>
          <t>Buzo Carmen</t>
        </is>
      </c>
      <c r="C23" s="2" t="inlineStr">
        <is>
          <t>Blanco</t>
        </is>
      </c>
      <c r="D23" s="2" t="inlineStr">
        <is>
          <t>S</t>
        </is>
      </c>
      <c r="E23" s="29" t="n">
        <v>9</v>
      </c>
      <c r="F23" t="n">
        <v>0</v>
      </c>
    </row>
    <row r="24">
      <c r="A24" s="2" t="inlineStr">
        <is>
          <t>BZCM-BC-M</t>
        </is>
      </c>
      <c r="B24" s="2" t="inlineStr">
        <is>
          <t>Buzo Carmen</t>
        </is>
      </c>
      <c r="C24" s="2" t="inlineStr">
        <is>
          <t>Blanco</t>
        </is>
      </c>
      <c r="D24" s="2" t="inlineStr">
        <is>
          <t>M</t>
        </is>
      </c>
      <c r="E24" s="29" t="n">
        <v>9</v>
      </c>
      <c r="F24" t="n">
        <v>0</v>
      </c>
    </row>
    <row r="25">
      <c r="A25" s="2" t="inlineStr">
        <is>
          <t>BZSM-NE-S</t>
        </is>
      </c>
      <c r="B25" s="2" t="inlineStr">
        <is>
          <t>Buzo Samara</t>
        </is>
      </c>
      <c r="C25" s="2" t="inlineStr">
        <is>
          <t>Negro</t>
        </is>
      </c>
      <c r="D25" s="2" t="inlineStr">
        <is>
          <t>S</t>
        </is>
      </c>
      <c r="E25" s="29" t="n">
        <v>8.5</v>
      </c>
      <c r="F25" t="n">
        <v>0</v>
      </c>
    </row>
    <row r="26">
      <c r="A26" s="2" t="inlineStr">
        <is>
          <t>BZSM-NE-M</t>
        </is>
      </c>
      <c r="B26" s="2" t="inlineStr">
        <is>
          <t>Buzo Samara</t>
        </is>
      </c>
      <c r="C26" s="2" t="inlineStr">
        <is>
          <t>Negro</t>
        </is>
      </c>
      <c r="D26" s="2" t="inlineStr">
        <is>
          <t>M</t>
        </is>
      </c>
      <c r="E26" s="29" t="n">
        <v>8.5</v>
      </c>
      <c r="F26" t="n">
        <v>0</v>
      </c>
    </row>
    <row r="27">
      <c r="A27" s="2" t="inlineStr">
        <is>
          <t>BZSM-BC-S</t>
        </is>
      </c>
      <c r="B27" s="2" t="inlineStr">
        <is>
          <t>Buzo Samara</t>
        </is>
      </c>
      <c r="C27" s="2" t="inlineStr">
        <is>
          <t>Blanco</t>
        </is>
      </c>
      <c r="D27" s="2" t="inlineStr">
        <is>
          <t>S</t>
        </is>
      </c>
      <c r="E27" s="29" t="n">
        <v>8.5</v>
      </c>
      <c r="F27" t="n">
        <v>0</v>
      </c>
    </row>
    <row r="28">
      <c r="A28" s="2" t="inlineStr">
        <is>
          <t>BZSM-BC-M</t>
        </is>
      </c>
      <c r="B28" s="2" t="inlineStr">
        <is>
          <t>Buzo Samara</t>
        </is>
      </c>
      <c r="C28" s="2" t="inlineStr">
        <is>
          <t>Blanco</t>
        </is>
      </c>
      <c r="D28" s="2" t="inlineStr">
        <is>
          <t>M</t>
        </is>
      </c>
      <c r="E28" s="29" t="n">
        <v>8.5</v>
      </c>
      <c r="F28" t="n">
        <v>0</v>
      </c>
    </row>
    <row r="29">
      <c r="A29" s="2" t="inlineStr">
        <is>
          <t>BLM-BCP-S</t>
        </is>
      </c>
      <c r="B29" s="2" t="inlineStr">
        <is>
          <t>Blusa Mia</t>
        </is>
      </c>
      <c r="C29" s="2" t="inlineStr">
        <is>
          <t>Blanco perla</t>
        </is>
      </c>
      <c r="D29" s="2" t="inlineStr">
        <is>
          <t>S</t>
        </is>
      </c>
      <c r="E29" s="29" t="n">
        <v>8</v>
      </c>
      <c r="F29" t="n">
        <v>0</v>
      </c>
    </row>
    <row r="30">
      <c r="A30" s="2" t="inlineStr">
        <is>
          <t>BLM-BCP-M</t>
        </is>
      </c>
      <c r="B30" s="2" t="inlineStr">
        <is>
          <t>Blusa Mia</t>
        </is>
      </c>
      <c r="C30" s="2" t="inlineStr">
        <is>
          <t>Blanco perla</t>
        </is>
      </c>
      <c r="D30" s="2" t="inlineStr">
        <is>
          <t>M</t>
        </is>
      </c>
      <c r="E30" s="29" t="n">
        <v>8</v>
      </c>
      <c r="F30" t="n">
        <v>0</v>
      </c>
    </row>
    <row r="31">
      <c r="A31" s="2" t="inlineStr">
        <is>
          <t>BLM-VN-S</t>
        </is>
      </c>
      <c r="B31" s="2" t="inlineStr">
        <is>
          <t>Blusa Mia</t>
        </is>
      </c>
      <c r="C31" s="2" t="inlineStr">
        <is>
          <t>Vino</t>
        </is>
      </c>
      <c r="D31" s="2" t="inlineStr">
        <is>
          <t>S</t>
        </is>
      </c>
      <c r="E31" s="29" t="n">
        <v>8</v>
      </c>
      <c r="F31" t="n">
        <v>0</v>
      </c>
    </row>
    <row r="32">
      <c r="A32" s="2" t="inlineStr">
        <is>
          <t>BLM-VN-M</t>
        </is>
      </c>
      <c r="B32" s="2" t="inlineStr">
        <is>
          <t>Blusa Mia</t>
        </is>
      </c>
      <c r="C32" s="2" t="inlineStr">
        <is>
          <t>Vino</t>
        </is>
      </c>
      <c r="D32" s="2" t="inlineStr">
        <is>
          <t>M</t>
        </is>
      </c>
      <c r="E32" s="29" t="n">
        <v>8</v>
      </c>
      <c r="F32" t="n">
        <v>0</v>
      </c>
    </row>
    <row r="33">
      <c r="A33" s="2" t="inlineStr">
        <is>
          <t>BLM-AZM-S</t>
        </is>
      </c>
      <c r="B33" s="2" t="inlineStr">
        <is>
          <t>Blusa Mia</t>
        </is>
      </c>
      <c r="C33" s="2" t="inlineStr">
        <is>
          <t>Azul marino</t>
        </is>
      </c>
      <c r="D33" s="2" t="inlineStr">
        <is>
          <t>S</t>
        </is>
      </c>
      <c r="E33" s="29" t="n">
        <v>8</v>
      </c>
      <c r="F33" t="n">
        <v>0</v>
      </c>
    </row>
    <row r="34">
      <c r="A34" s="2" t="inlineStr">
        <is>
          <t>BLM-AZM-M</t>
        </is>
      </c>
      <c r="B34" s="2" t="inlineStr">
        <is>
          <t>Blusa Mia</t>
        </is>
      </c>
      <c r="C34" s="2" t="inlineStr">
        <is>
          <t>Azul marino</t>
        </is>
      </c>
      <c r="D34" s="2" t="inlineStr">
        <is>
          <t>M</t>
        </is>
      </c>
      <c r="E34" s="29" t="n">
        <v>8</v>
      </c>
      <c r="F34" t="n">
        <v>0</v>
      </c>
    </row>
    <row r="35">
      <c r="A35" s="2" t="inlineStr">
        <is>
          <t>BLMD-BC-S</t>
        </is>
      </c>
      <c r="B35" s="2" t="inlineStr">
        <is>
          <t>Blusa Merida</t>
        </is>
      </c>
      <c r="C35" s="2" t="inlineStr">
        <is>
          <t>Blanco</t>
        </is>
      </c>
      <c r="D35" s="2" t="inlineStr">
        <is>
          <t>S</t>
        </is>
      </c>
      <c r="E35" s="29" t="n">
        <v>7</v>
      </c>
      <c r="F35" t="n">
        <v>0</v>
      </c>
    </row>
    <row r="36">
      <c r="A36" s="2" t="inlineStr">
        <is>
          <t>BLMD-BC-M</t>
        </is>
      </c>
      <c r="B36" s="2" t="inlineStr">
        <is>
          <t>Blusa Merida</t>
        </is>
      </c>
      <c r="C36" s="2" t="inlineStr">
        <is>
          <t>Blanco</t>
        </is>
      </c>
      <c r="D36" s="2" t="inlineStr">
        <is>
          <t>M</t>
        </is>
      </c>
      <c r="E36" s="29" t="n">
        <v>7</v>
      </c>
      <c r="F36" t="n">
        <v>0</v>
      </c>
    </row>
    <row r="37">
      <c r="A37" s="2" t="inlineStr">
        <is>
          <t>BLMD-CH-S</t>
        </is>
      </c>
      <c r="B37" s="2" t="inlineStr">
        <is>
          <t>Blusa Merida</t>
        </is>
      </c>
      <c r="C37" s="2" t="inlineStr">
        <is>
          <t>Chocolate</t>
        </is>
      </c>
      <c r="D37" s="2" t="inlineStr">
        <is>
          <t>S</t>
        </is>
      </c>
      <c r="E37" s="29" t="n">
        <v>7</v>
      </c>
      <c r="F37" t="n">
        <v>0</v>
      </c>
    </row>
    <row r="38">
      <c r="A38" s="2" t="inlineStr">
        <is>
          <t>BLMD-CH-M</t>
        </is>
      </c>
      <c r="B38" s="2" t="inlineStr">
        <is>
          <t>Blusa Merida</t>
        </is>
      </c>
      <c r="C38" s="2" t="inlineStr">
        <is>
          <t>Chocolate</t>
        </is>
      </c>
      <c r="D38" s="2" t="inlineStr">
        <is>
          <t>M</t>
        </is>
      </c>
      <c r="E38" s="29" t="n">
        <v>7</v>
      </c>
      <c r="F38" t="n">
        <v>0</v>
      </c>
    </row>
    <row r="39">
      <c r="A39" s="2" t="inlineStr">
        <is>
          <t>TPCT-CF-S</t>
        </is>
      </c>
      <c r="B39" s="2" t="inlineStr">
        <is>
          <t>Top Cristina</t>
        </is>
      </c>
      <c r="C39" s="2" t="inlineStr">
        <is>
          <t>Café</t>
        </is>
      </c>
      <c r="D39" s="2" t="inlineStr">
        <is>
          <t>S</t>
        </is>
      </c>
      <c r="E39" s="29" t="n">
        <v>5</v>
      </c>
      <c r="F39" t="n">
        <v>0</v>
      </c>
    </row>
    <row r="40">
      <c r="A40" s="2" t="inlineStr">
        <is>
          <t>TPCT-CF-M</t>
        </is>
      </c>
      <c r="B40" s="2" t="inlineStr">
        <is>
          <t>Top Cristina</t>
        </is>
      </c>
      <c r="C40" s="2" t="inlineStr">
        <is>
          <t>Café</t>
        </is>
      </c>
      <c r="D40" s="2" t="inlineStr">
        <is>
          <t>M</t>
        </is>
      </c>
      <c r="E40" s="29" t="n">
        <v>5</v>
      </c>
      <c r="F40" t="n">
        <v>0</v>
      </c>
    </row>
    <row r="41">
      <c r="A41" s="2" t="inlineStr">
        <is>
          <t>TPCT-BC-S</t>
        </is>
      </c>
      <c r="B41" s="2" t="inlineStr">
        <is>
          <t>Top Cristina</t>
        </is>
      </c>
      <c r="C41" s="2" t="inlineStr">
        <is>
          <t>Blanco</t>
        </is>
      </c>
      <c r="D41" s="2" t="inlineStr">
        <is>
          <t>S</t>
        </is>
      </c>
      <c r="E41" s="29" t="n">
        <v>5</v>
      </c>
      <c r="F41" t="n">
        <v>0</v>
      </c>
    </row>
    <row r="42">
      <c r="A42" s="2" t="inlineStr">
        <is>
          <t>TPCT-BC-M</t>
        </is>
      </c>
      <c r="B42" s="2" t="inlineStr">
        <is>
          <t>Top Cristina</t>
        </is>
      </c>
      <c r="C42" s="2" t="inlineStr">
        <is>
          <t>Blanco</t>
        </is>
      </c>
      <c r="D42" s="2" t="inlineStr">
        <is>
          <t>M</t>
        </is>
      </c>
      <c r="E42" s="29" t="n">
        <v>5</v>
      </c>
      <c r="F42" t="n">
        <v>0</v>
      </c>
    </row>
    <row r="43">
      <c r="A43" s="2" t="inlineStr">
        <is>
          <t>TPCT-AZP-S</t>
        </is>
      </c>
      <c r="B43" s="2" t="inlineStr">
        <is>
          <t>Top Cristina</t>
        </is>
      </c>
      <c r="C43" s="2" t="inlineStr">
        <is>
          <t>Azul petroleo</t>
        </is>
      </c>
      <c r="D43" s="2" t="inlineStr">
        <is>
          <t>S</t>
        </is>
      </c>
      <c r="E43" s="29" t="n">
        <v>5</v>
      </c>
      <c r="F43" t="n">
        <v>0</v>
      </c>
    </row>
    <row r="44">
      <c r="A44" s="2" t="inlineStr">
        <is>
          <t>TPCT-AZP-M</t>
        </is>
      </c>
      <c r="B44" s="2" t="inlineStr">
        <is>
          <t>Top Cristina</t>
        </is>
      </c>
      <c r="C44" s="2" t="inlineStr">
        <is>
          <t>Azul petroleo</t>
        </is>
      </c>
      <c r="D44" s="2" t="inlineStr">
        <is>
          <t>M</t>
        </is>
      </c>
      <c r="E44" s="29" t="n">
        <v>5</v>
      </c>
      <c r="F44" t="n">
        <v>0</v>
      </c>
    </row>
    <row r="45">
      <c r="A45" s="2" t="inlineStr">
        <is>
          <t>TPCT-AP-S</t>
        </is>
      </c>
      <c r="B45" s="2" t="inlineStr">
        <is>
          <t>Top Cristina</t>
        </is>
      </c>
      <c r="C45" s="2" t="inlineStr">
        <is>
          <t>Animal Print</t>
        </is>
      </c>
      <c r="D45" s="2" t="inlineStr">
        <is>
          <t>S</t>
        </is>
      </c>
      <c r="E45" s="29" t="n">
        <v>5</v>
      </c>
      <c r="F45" t="n">
        <v>0</v>
      </c>
    </row>
    <row r="46">
      <c r="A46" s="2" t="inlineStr">
        <is>
          <t>TPCT-AP-M</t>
        </is>
      </c>
      <c r="B46" s="2" t="inlineStr">
        <is>
          <t>Top Cristina</t>
        </is>
      </c>
      <c r="C46" s="2" t="inlineStr">
        <is>
          <t>Animal Print</t>
        </is>
      </c>
      <c r="D46" s="2" t="inlineStr">
        <is>
          <t>M</t>
        </is>
      </c>
      <c r="E46" s="29" t="n">
        <v>5</v>
      </c>
      <c r="F46" t="n">
        <v>0</v>
      </c>
    </row>
    <row r="47">
      <c r="A47" s="2" t="inlineStr">
        <is>
          <t>BZKL-AZM-S</t>
        </is>
      </c>
      <c r="B47" s="2" t="inlineStr">
        <is>
          <t>Buzo Kelly</t>
        </is>
      </c>
      <c r="C47" s="2" t="inlineStr">
        <is>
          <t>Azul marino</t>
        </is>
      </c>
      <c r="D47" s="2" t="inlineStr">
        <is>
          <t>S</t>
        </is>
      </c>
      <c r="E47" s="29" t="n">
        <v>9</v>
      </c>
      <c r="F47" t="n">
        <v>0</v>
      </c>
    </row>
    <row r="48">
      <c r="A48" s="2" t="inlineStr">
        <is>
          <t>BZKL-AZM-M</t>
        </is>
      </c>
      <c r="B48" s="2" t="inlineStr">
        <is>
          <t>Buzo Kelly</t>
        </is>
      </c>
      <c r="C48" s="2" t="inlineStr">
        <is>
          <t>Azul marino</t>
        </is>
      </c>
      <c r="D48" s="2" t="inlineStr">
        <is>
          <t>M</t>
        </is>
      </c>
      <c r="E48" s="29" t="n">
        <v>9</v>
      </c>
      <c r="F48" t="n">
        <v>0</v>
      </c>
    </row>
    <row r="49">
      <c r="A49" s="2" t="inlineStr">
        <is>
          <t>BZKL-BCP-S</t>
        </is>
      </c>
      <c r="B49" s="2" t="inlineStr">
        <is>
          <t>Buzo Kelly</t>
        </is>
      </c>
      <c r="C49" s="2" t="inlineStr">
        <is>
          <t>Blanco perla</t>
        </is>
      </c>
      <c r="D49" s="2" t="inlineStr">
        <is>
          <t>S</t>
        </is>
      </c>
      <c r="E49" s="29" t="n">
        <v>9</v>
      </c>
      <c r="F49" t="n">
        <v>0</v>
      </c>
    </row>
    <row r="50">
      <c r="A50" s="2" t="inlineStr">
        <is>
          <t>BZKL-BCP-M</t>
        </is>
      </c>
      <c r="B50" s="2" t="inlineStr">
        <is>
          <t>Buzo Kelly</t>
        </is>
      </c>
      <c r="C50" s="2" t="inlineStr">
        <is>
          <t>Blanco perla</t>
        </is>
      </c>
      <c r="D50" s="2" t="inlineStr">
        <is>
          <t>M</t>
        </is>
      </c>
      <c r="E50" s="29" t="n">
        <v>9</v>
      </c>
      <c r="F50" t="n">
        <v>0</v>
      </c>
    </row>
    <row r="51">
      <c r="A51" s="2" t="inlineStr">
        <is>
          <t>BDSF-NE-S</t>
        </is>
      </c>
      <c r="B51" s="2" t="inlineStr">
        <is>
          <t>Body Sofia</t>
        </is>
      </c>
      <c r="C51" s="2" t="inlineStr">
        <is>
          <t>Negro</t>
        </is>
      </c>
      <c r="D51" s="2" t="inlineStr">
        <is>
          <t>S</t>
        </is>
      </c>
      <c r="E51" s="29" t="n">
        <v>8</v>
      </c>
      <c r="F51" t="n">
        <v>0</v>
      </c>
    </row>
    <row r="52">
      <c r="A52" s="2" t="inlineStr">
        <is>
          <t>BDSF-NE-M</t>
        </is>
      </c>
      <c r="B52" s="2" t="inlineStr">
        <is>
          <t>Body Sofia</t>
        </is>
      </c>
      <c r="C52" s="2" t="inlineStr">
        <is>
          <t>Negro</t>
        </is>
      </c>
      <c r="D52" s="2" t="inlineStr">
        <is>
          <t>M</t>
        </is>
      </c>
      <c r="E52" s="29" t="n">
        <v>8</v>
      </c>
      <c r="F52" t="n">
        <v>0</v>
      </c>
    </row>
    <row r="53">
      <c r="A53" s="2" t="inlineStr">
        <is>
          <t>BDBN-BC-S</t>
        </is>
      </c>
      <c r="B53" s="2" t="inlineStr">
        <is>
          <t>Body Belen</t>
        </is>
      </c>
      <c r="C53" s="2" t="inlineStr">
        <is>
          <t>Blanco</t>
        </is>
      </c>
      <c r="D53" s="2" t="inlineStr">
        <is>
          <t>S</t>
        </is>
      </c>
      <c r="E53" s="29" t="n">
        <v>10</v>
      </c>
      <c r="F53" t="n">
        <v>0</v>
      </c>
    </row>
    <row r="54">
      <c r="A54" s="2" t="inlineStr">
        <is>
          <t>BDBN-BC-M</t>
        </is>
      </c>
      <c r="B54" s="2" t="inlineStr">
        <is>
          <t>Body Belen</t>
        </is>
      </c>
      <c r="C54" s="2" t="inlineStr">
        <is>
          <t>Blanco</t>
        </is>
      </c>
      <c r="D54" s="2" t="inlineStr">
        <is>
          <t>M</t>
        </is>
      </c>
      <c r="E54" s="29" t="n">
        <v>10</v>
      </c>
      <c r="F54" t="n">
        <v>0</v>
      </c>
    </row>
    <row r="55">
      <c r="A55" s="2" t="inlineStr">
        <is>
          <t>BDBN-NE-S</t>
        </is>
      </c>
      <c r="B55" s="2" t="inlineStr">
        <is>
          <t>Body Belen</t>
        </is>
      </c>
      <c r="C55" s="2" t="inlineStr">
        <is>
          <t>Negro</t>
        </is>
      </c>
      <c r="D55" s="2" t="inlineStr">
        <is>
          <t>S</t>
        </is>
      </c>
      <c r="E55" s="29" t="n">
        <v>10</v>
      </c>
      <c r="F55" t="n">
        <v>0</v>
      </c>
    </row>
    <row r="56">
      <c r="A56" s="2" t="inlineStr">
        <is>
          <t>BDBN-NE-M</t>
        </is>
      </c>
      <c r="B56" s="2" t="inlineStr">
        <is>
          <t>Body Belen</t>
        </is>
      </c>
      <c r="C56" s="2" t="inlineStr">
        <is>
          <t>Negro</t>
        </is>
      </c>
      <c r="D56" s="2" t="inlineStr">
        <is>
          <t>M</t>
        </is>
      </c>
      <c r="E56" s="29" t="n">
        <v>10</v>
      </c>
      <c r="F56" t="n">
        <v>0</v>
      </c>
    </row>
    <row r="57">
      <c r="A57" s="2" t="inlineStr">
        <is>
          <t>BDBN-RO-S</t>
        </is>
      </c>
      <c r="B57" s="2" t="inlineStr">
        <is>
          <t>Body Belen</t>
        </is>
      </c>
      <c r="C57" s="2" t="inlineStr">
        <is>
          <t>Rojo</t>
        </is>
      </c>
      <c r="D57" s="2" t="inlineStr">
        <is>
          <t>S</t>
        </is>
      </c>
      <c r="E57" s="29" t="n">
        <v>10</v>
      </c>
      <c r="F57" t="n">
        <v>0</v>
      </c>
    </row>
    <row r="58">
      <c r="A58" s="2" t="inlineStr">
        <is>
          <t>BDBN-RO-M</t>
        </is>
      </c>
      <c r="B58" s="2" t="inlineStr">
        <is>
          <t>Body Belen</t>
        </is>
      </c>
      <c r="C58" s="2" t="inlineStr">
        <is>
          <t>Rojo</t>
        </is>
      </c>
      <c r="D58" s="2" t="inlineStr">
        <is>
          <t>M</t>
        </is>
      </c>
      <c r="E58" s="29" t="n">
        <v>10</v>
      </c>
      <c r="F58" t="n">
        <v>0</v>
      </c>
    </row>
    <row r="59">
      <c r="A59" s="2" t="inlineStr">
        <is>
          <t>BDBN-CF-S</t>
        </is>
      </c>
      <c r="B59" s="2" t="inlineStr">
        <is>
          <t>Body Belen</t>
        </is>
      </c>
      <c r="C59" s="2" t="inlineStr">
        <is>
          <t>Café</t>
        </is>
      </c>
      <c r="D59" s="2" t="inlineStr">
        <is>
          <t>S</t>
        </is>
      </c>
      <c r="E59" s="29" t="n">
        <v>10</v>
      </c>
      <c r="F59" t="n">
        <v>0</v>
      </c>
    </row>
    <row r="60">
      <c r="A60" s="2" t="inlineStr">
        <is>
          <t>BDBN-CF-M</t>
        </is>
      </c>
      <c r="B60" s="2" t="inlineStr">
        <is>
          <t>Body Belen</t>
        </is>
      </c>
      <c r="C60" s="2" t="inlineStr">
        <is>
          <t>café</t>
        </is>
      </c>
      <c r="D60" s="2" t="inlineStr">
        <is>
          <t>M</t>
        </is>
      </c>
      <c r="E60" s="29" t="n">
        <v>10</v>
      </c>
      <c r="F60" t="n">
        <v>0</v>
      </c>
    </row>
    <row r="61">
      <c r="A61" s="2" t="inlineStr">
        <is>
          <t>BDBN-AZP-S</t>
        </is>
      </c>
      <c r="B61" s="2" t="inlineStr">
        <is>
          <t>Body Belen</t>
        </is>
      </c>
      <c r="C61" s="2" t="inlineStr">
        <is>
          <t>Azul petroleo</t>
        </is>
      </c>
      <c r="D61" s="2" t="inlineStr">
        <is>
          <t>S</t>
        </is>
      </c>
      <c r="E61" s="29" t="n">
        <v>10</v>
      </c>
      <c r="F61" t="n">
        <v>0</v>
      </c>
    </row>
    <row r="62">
      <c r="A62" s="2" t="inlineStr">
        <is>
          <t>BDBN-AZP-M</t>
        </is>
      </c>
      <c r="B62" s="2" t="inlineStr">
        <is>
          <t>Body Belen</t>
        </is>
      </c>
      <c r="C62" s="2" t="inlineStr">
        <is>
          <t>Azul petroleo</t>
        </is>
      </c>
      <c r="D62" s="2" t="inlineStr">
        <is>
          <t>M</t>
        </is>
      </c>
      <c r="E62" s="29" t="n">
        <v>10</v>
      </c>
      <c r="F62" t="n">
        <v>0</v>
      </c>
    </row>
    <row r="63">
      <c r="A63" s="2" t="inlineStr">
        <is>
          <t>BDVR-CH-S</t>
        </is>
      </c>
      <c r="B63" s="2" t="inlineStr">
        <is>
          <t>Body Valey</t>
        </is>
      </c>
      <c r="C63" s="2" t="inlineStr">
        <is>
          <t>Chocolate</t>
        </is>
      </c>
      <c r="D63" s="2" t="inlineStr">
        <is>
          <t>S</t>
        </is>
      </c>
      <c r="E63" s="29" t="n">
        <v>10</v>
      </c>
      <c r="F63" t="n">
        <v>0</v>
      </c>
    </row>
    <row r="64">
      <c r="A64" s="2" t="inlineStr">
        <is>
          <t>BDVR-CH-M</t>
        </is>
      </c>
      <c r="B64" s="2" t="inlineStr">
        <is>
          <t>Body Valery</t>
        </is>
      </c>
      <c r="C64" s="2" t="inlineStr">
        <is>
          <t>Chocolate</t>
        </is>
      </c>
      <c r="D64" s="2" t="inlineStr">
        <is>
          <t>M</t>
        </is>
      </c>
      <c r="E64" s="29" t="n">
        <v>10</v>
      </c>
      <c r="F64" t="n">
        <v>0</v>
      </c>
    </row>
    <row r="65">
      <c r="A65" s="2" t="inlineStr">
        <is>
          <t>BDVR-CR-S</t>
        </is>
      </c>
      <c r="B65" s="2" t="inlineStr">
        <is>
          <t>Body Valery</t>
        </is>
      </c>
      <c r="C65" s="2" t="inlineStr">
        <is>
          <t>Crema</t>
        </is>
      </c>
      <c r="D65" s="2" t="inlineStr">
        <is>
          <t>S</t>
        </is>
      </c>
      <c r="E65" s="29" t="n">
        <v>10</v>
      </c>
      <c r="F65" t="n">
        <v>0</v>
      </c>
    </row>
    <row r="66">
      <c r="A66" s="2" t="inlineStr">
        <is>
          <t>BDVR-CR-M</t>
        </is>
      </c>
      <c r="B66" s="2" t="inlineStr">
        <is>
          <t>Body Valery</t>
        </is>
      </c>
      <c r="C66" s="2" t="inlineStr">
        <is>
          <t>Crema</t>
        </is>
      </c>
      <c r="D66" s="2" t="inlineStr">
        <is>
          <t>M</t>
        </is>
      </c>
      <c r="E66" s="29" t="n">
        <v>10</v>
      </c>
      <c r="F66" t="n">
        <v>0</v>
      </c>
    </row>
    <row r="67">
      <c r="A67" s="2" t="inlineStr">
        <is>
          <t>BDVR-BC-S</t>
        </is>
      </c>
      <c r="B67" s="2" t="inlineStr">
        <is>
          <t>Body Valery</t>
        </is>
      </c>
      <c r="C67" s="2" t="inlineStr">
        <is>
          <t>Blanco</t>
        </is>
      </c>
      <c r="D67" s="2" t="inlineStr">
        <is>
          <t>S</t>
        </is>
      </c>
      <c r="E67" s="29" t="n">
        <v>10</v>
      </c>
      <c r="F67" t="n">
        <v>0</v>
      </c>
    </row>
    <row r="68">
      <c r="A68" s="2" t="inlineStr">
        <is>
          <t>BDVR-BC-M</t>
        </is>
      </c>
      <c r="B68" s="2" t="inlineStr">
        <is>
          <t>Body Valery</t>
        </is>
      </c>
      <c r="C68" s="2" t="inlineStr">
        <is>
          <t>Blanco</t>
        </is>
      </c>
      <c r="D68" s="2" t="inlineStr">
        <is>
          <t>M</t>
        </is>
      </c>
      <c r="E68" s="29" t="n">
        <v>10</v>
      </c>
      <c r="F68" t="n">
        <v>0</v>
      </c>
    </row>
    <row r="69">
      <c r="A69" s="2" t="inlineStr">
        <is>
          <t>BDML-CB-S</t>
        </is>
      </c>
      <c r="B69" s="2" t="inlineStr">
        <is>
          <t>Body Miley</t>
        </is>
      </c>
      <c r="C69" s="2" t="inlineStr">
        <is>
          <t>Cebra</t>
        </is>
      </c>
      <c r="D69" s="2" t="inlineStr">
        <is>
          <t>S</t>
        </is>
      </c>
      <c r="E69" s="29" t="n">
        <v>10</v>
      </c>
      <c r="F69" t="n">
        <v>0</v>
      </c>
    </row>
    <row r="70">
      <c r="A70" s="2" t="inlineStr">
        <is>
          <t>BDML-CB-M</t>
        </is>
      </c>
      <c r="B70" s="2" t="inlineStr">
        <is>
          <t>Body Miley</t>
        </is>
      </c>
      <c r="C70" s="2" t="inlineStr">
        <is>
          <t>Cebra</t>
        </is>
      </c>
      <c r="D70" s="2" t="inlineStr">
        <is>
          <t>M</t>
        </is>
      </c>
      <c r="E70" s="29" t="n">
        <v>10</v>
      </c>
      <c r="F70" t="n">
        <v>0</v>
      </c>
    </row>
    <row r="71">
      <c r="A71" s="2" t="inlineStr">
        <is>
          <t>BDMY-BC-S</t>
        </is>
      </c>
      <c r="B71" s="2" t="inlineStr">
        <is>
          <t>Body Miley</t>
        </is>
      </c>
      <c r="C71" s="2" t="inlineStr">
        <is>
          <t>Blanco</t>
        </is>
      </c>
      <c r="D71" s="2" t="inlineStr">
        <is>
          <t>S</t>
        </is>
      </c>
      <c r="E71" s="29" t="n">
        <v>10</v>
      </c>
      <c r="F71" t="n">
        <v>0</v>
      </c>
    </row>
    <row r="72">
      <c r="A72" s="2" t="inlineStr">
        <is>
          <t>BDMY-BC-M</t>
        </is>
      </c>
      <c r="B72" s="2" t="inlineStr">
        <is>
          <t>Body Miley</t>
        </is>
      </c>
      <c r="C72" s="2" t="inlineStr">
        <is>
          <t>Blanco</t>
        </is>
      </c>
      <c r="D72" s="2" t="inlineStr">
        <is>
          <t>M</t>
        </is>
      </c>
      <c r="E72" s="29" t="n">
        <v>10</v>
      </c>
      <c r="F72" t="n">
        <v>0</v>
      </c>
    </row>
    <row r="73">
      <c r="A73" s="2" t="inlineStr">
        <is>
          <t>BDVL-LP-S</t>
        </is>
      </c>
      <c r="B73" s="2" t="inlineStr">
        <is>
          <t>Body Valeska</t>
        </is>
      </c>
      <c r="C73" s="2" t="inlineStr">
        <is>
          <t>Leopardo</t>
        </is>
      </c>
      <c r="D73" s="2" t="inlineStr">
        <is>
          <t>S</t>
        </is>
      </c>
      <c r="E73" s="29" t="n">
        <v>10</v>
      </c>
      <c r="F73" t="n">
        <v>0</v>
      </c>
    </row>
    <row r="74">
      <c r="A74" s="2" t="inlineStr">
        <is>
          <t>BDVL-LP-M</t>
        </is>
      </c>
      <c r="B74" s="2" t="inlineStr">
        <is>
          <t>Body Valeska</t>
        </is>
      </c>
      <c r="C74" s="2" t="inlineStr">
        <is>
          <t>Leopardo</t>
        </is>
      </c>
      <c r="D74" s="2" t="inlineStr">
        <is>
          <t>M</t>
        </is>
      </c>
      <c r="E74" s="29" t="n">
        <v>10</v>
      </c>
      <c r="F74" t="n">
        <v>0</v>
      </c>
    </row>
    <row r="75">
      <c r="A75" s="25" t="inlineStr">
        <is>
          <t>BLOB-NE-S</t>
        </is>
      </c>
      <c r="B75" s="2" t="n"/>
      <c r="C75" s="2" t="n"/>
      <c r="D75" s="2" t="n"/>
      <c r="E75" s="29" t="n"/>
      <c r="F75" t="n">
        <v>0</v>
      </c>
    </row>
    <row r="76">
      <c r="A76" s="25" t="inlineStr">
        <is>
          <t>BLOB-NE-M</t>
        </is>
      </c>
      <c r="B76" s="2" t="n"/>
      <c r="C76" s="2" t="n"/>
      <c r="D76" s="2" t="n"/>
      <c r="E76" s="29" t="n"/>
      <c r="F76" t="n">
        <v>0</v>
      </c>
    </row>
    <row r="77">
      <c r="A77" s="25" t="inlineStr">
        <is>
          <t>BLOB-RO-S</t>
        </is>
      </c>
      <c r="B77" s="2" t="n"/>
      <c r="C77" s="2" t="n"/>
      <c r="D77" s="2" t="n"/>
      <c r="E77" s="29" t="n"/>
      <c r="F77" t="n">
        <v>0</v>
      </c>
    </row>
    <row r="78">
      <c r="A78" s="25" t="inlineStr">
        <is>
          <t>BLOB-RO-M</t>
        </is>
      </c>
      <c r="B78" s="2" t="n"/>
      <c r="C78" s="2" t="n"/>
      <c r="D78" s="2" t="n"/>
      <c r="E78" s="29" t="n"/>
      <c r="F78" t="n">
        <v>0</v>
      </c>
    </row>
    <row r="79">
      <c r="A79" s="25" t="inlineStr">
        <is>
          <t>BLOB-BL-S</t>
        </is>
      </c>
      <c r="B79" s="2" t="n"/>
      <c r="C79" s="2" t="n"/>
      <c r="D79" s="2" t="n"/>
      <c r="E79" s="29" t="n"/>
      <c r="F79" t="n">
        <v>0</v>
      </c>
    </row>
    <row r="80">
      <c r="A80" s="25" t="inlineStr">
        <is>
          <t>BLOB-BL-M</t>
        </is>
      </c>
      <c r="B80" s="2" t="n"/>
      <c r="C80" s="2" t="n"/>
      <c r="D80" s="2" t="n"/>
      <c r="E80" s="29" t="n"/>
      <c r="F80" t="n">
        <v>0</v>
      </c>
    </row>
    <row r="81">
      <c r="A81" s="25" t="inlineStr">
        <is>
          <t>BLEC-NE-S</t>
        </is>
      </c>
      <c r="B81" s="2" t="n"/>
      <c r="C81" s="2" t="n"/>
      <c r="D81" s="2" t="n"/>
      <c r="E81" s="29" t="n"/>
      <c r="F81" t="n">
        <v>0</v>
      </c>
    </row>
    <row r="82">
      <c r="A82" s="25" t="inlineStr">
        <is>
          <t>BLEC-NE-M</t>
        </is>
      </c>
      <c r="B82" s="2" t="n"/>
      <c r="C82" s="2" t="n"/>
      <c r="D82" s="2" t="n"/>
      <c r="E82" s="29" t="n"/>
      <c r="F82" t="n">
        <v>0</v>
      </c>
    </row>
    <row r="83">
      <c r="A83" s="25" t="inlineStr">
        <is>
          <t>BLEC-BL-S</t>
        </is>
      </c>
      <c r="B83" s="2" t="n"/>
      <c r="C83" s="2" t="n"/>
      <c r="D83" s="2" t="n"/>
      <c r="E83" s="29" t="n"/>
      <c r="F83" t="n">
        <v>0</v>
      </c>
    </row>
    <row r="84">
      <c r="A84" s="25" t="inlineStr">
        <is>
          <t>BLEC-BL-M</t>
        </is>
      </c>
      <c r="B84" s="2" t="n"/>
      <c r="C84" s="2" t="n"/>
      <c r="D84" s="2" t="n"/>
      <c r="E84" s="29" t="n"/>
      <c r="F84" t="n">
        <v>0</v>
      </c>
    </row>
    <row r="85">
      <c r="A85" s="25" t="inlineStr">
        <is>
          <t>BLEC-RO-S</t>
        </is>
      </c>
      <c r="B85" s="2" t="n"/>
      <c r="C85" s="2" t="n"/>
      <c r="D85" s="2" t="n"/>
      <c r="E85" s="29" t="n"/>
      <c r="F85" t="n">
        <v>0</v>
      </c>
    </row>
    <row r="86">
      <c r="A86" s="25" t="inlineStr">
        <is>
          <t>BLEC-RO-M</t>
        </is>
      </c>
      <c r="B86" s="2" t="n"/>
      <c r="C86" s="2" t="n"/>
      <c r="D86" s="2" t="n"/>
      <c r="E86" s="29" t="n"/>
      <c r="F86" t="n">
        <v>0</v>
      </c>
    </row>
    <row r="87">
      <c r="A87" s="25" t="inlineStr">
        <is>
          <t>BLEC-CF-S</t>
        </is>
      </c>
      <c r="B87" s="2" t="n"/>
      <c r="C87" s="2" t="n"/>
      <c r="D87" s="2" t="n"/>
      <c r="E87" s="29" t="n"/>
      <c r="F87" t="n">
        <v>0</v>
      </c>
    </row>
    <row r="88">
      <c r="A88" s="25" t="inlineStr">
        <is>
          <t>BLEC-CF-M</t>
        </is>
      </c>
      <c r="B88" s="2" t="n"/>
      <c r="C88" s="2" t="n"/>
      <c r="D88" s="2" t="n"/>
      <c r="E88" s="29" t="n"/>
      <c r="F88" t="n">
        <v>0</v>
      </c>
    </row>
    <row r="89">
      <c r="A89" s="25" t="inlineStr">
        <is>
          <t>BLSM-CL-E</t>
        </is>
      </c>
      <c r="B89" s="2" t="n"/>
      <c r="C89" s="2" t="n"/>
      <c r="D89" s="2" t="n"/>
      <c r="E89" s="29" t="n"/>
      <c r="F89" t="n">
        <v>0</v>
      </c>
    </row>
    <row r="90">
      <c r="A90" s="25" t="inlineStr">
        <is>
          <t>BLSM-NE-E</t>
        </is>
      </c>
      <c r="B90" s="2" t="n"/>
      <c r="C90" s="2" t="n"/>
      <c r="D90" s="2" t="n"/>
      <c r="E90" s="29" t="n"/>
      <c r="F90" t="n">
        <v>0</v>
      </c>
    </row>
    <row r="91">
      <c r="A91" s="25" t="inlineStr">
        <is>
          <t>BLSM-RS-E</t>
        </is>
      </c>
      <c r="B91" s="2" t="n"/>
      <c r="C91" s="2" t="n"/>
      <c r="D91" s="2" t="n"/>
      <c r="E91" s="29" t="n"/>
      <c r="F91" t="n">
        <v>0</v>
      </c>
    </row>
    <row r="92">
      <c r="A92" s="25" t="inlineStr">
        <is>
          <t>BLSM-AV-E</t>
        </is>
      </c>
      <c r="B92" s="2" t="n"/>
      <c r="C92" s="2" t="n"/>
      <c r="D92" s="2" t="n"/>
      <c r="E92" s="29" t="n"/>
      <c r="F92" t="n">
        <v>0</v>
      </c>
    </row>
    <row r="93">
      <c r="A93" s="25" t="inlineStr">
        <is>
          <t>BLDN-AV-S</t>
        </is>
      </c>
      <c r="B93" s="2" t="n"/>
      <c r="C93" s="2" t="n"/>
      <c r="D93" s="2" t="n"/>
      <c r="E93" s="29" t="n"/>
      <c r="F93" t="n">
        <v>0</v>
      </c>
    </row>
    <row r="94">
      <c r="A94" s="25" t="inlineStr">
        <is>
          <t>BLDN-AV-M</t>
        </is>
      </c>
      <c r="B94" s="2" t="n"/>
      <c r="C94" s="2" t="n"/>
      <c r="D94" s="2" t="n"/>
      <c r="E94" s="29" t="n"/>
      <c r="F94" t="n">
        <v>0</v>
      </c>
    </row>
    <row r="95">
      <c r="A95" s="25" t="inlineStr">
        <is>
          <t>BLDN-NE-S</t>
        </is>
      </c>
      <c r="B95" s="2" t="n"/>
      <c r="C95" s="2" t="n"/>
      <c r="D95" s="2" t="n"/>
      <c r="E95" s="29" t="n"/>
      <c r="F95" t="n">
        <v>0</v>
      </c>
    </row>
    <row r="96">
      <c r="A96" s="25" t="inlineStr">
        <is>
          <t>BLDN-NE-M</t>
        </is>
      </c>
      <c r="B96" s="2" t="n"/>
      <c r="C96" s="2" t="n"/>
      <c r="D96" s="2" t="n"/>
      <c r="E96" s="29" t="n"/>
      <c r="F96" t="n">
        <v>0</v>
      </c>
    </row>
    <row r="97">
      <c r="A97" s="25" t="inlineStr">
        <is>
          <t>BLDN-RS-S</t>
        </is>
      </c>
      <c r="B97" s="2" t="n"/>
      <c r="C97" s="2" t="n"/>
      <c r="D97" s="2" t="n"/>
      <c r="E97" s="29" t="n"/>
      <c r="F97" t="n">
        <v>0</v>
      </c>
    </row>
    <row r="98">
      <c r="A98" s="25" t="inlineStr">
        <is>
          <t>BLDN-RS-M</t>
        </is>
      </c>
      <c r="B98" s="2" t="n"/>
      <c r="C98" s="2" t="n"/>
      <c r="D98" s="2" t="n"/>
      <c r="E98" s="29" t="n"/>
      <c r="F98" t="n">
        <v>0</v>
      </c>
    </row>
    <row r="99">
      <c r="A99" s="25" t="inlineStr">
        <is>
          <t>BLCH-AV-E</t>
        </is>
      </c>
      <c r="B99" s="2" t="n"/>
      <c r="C99" s="2" t="n"/>
      <c r="D99" s="2" t="n"/>
      <c r="E99" s="29" t="n"/>
      <c r="F99" t="n">
        <v>0</v>
      </c>
    </row>
    <row r="100">
      <c r="A100" s="25" t="inlineStr">
        <is>
          <t>BLCH-AV-S</t>
        </is>
      </c>
      <c r="B100" s="2" t="n"/>
      <c r="C100" s="2" t="n"/>
      <c r="D100" s="2" t="n"/>
      <c r="E100" s="29" t="n"/>
      <c r="F100" t="n">
        <v>0</v>
      </c>
    </row>
    <row r="101">
      <c r="A101" s="25" t="inlineStr">
        <is>
          <t>BLCH-AV-M</t>
        </is>
      </c>
      <c r="B101" s="2" t="n"/>
      <c r="C101" s="2" t="n"/>
      <c r="D101" s="2" t="n"/>
      <c r="E101" s="29" t="n"/>
      <c r="F101" t="n">
        <v>0</v>
      </c>
    </row>
    <row r="102">
      <c r="A102" s="25" t="inlineStr">
        <is>
          <t>BLCH-NE-E</t>
        </is>
      </c>
      <c r="B102" s="2" t="n"/>
      <c r="C102" s="2" t="n"/>
      <c r="D102" s="2" t="n"/>
      <c r="E102" s="29" t="n"/>
      <c r="F102" t="n">
        <v>0</v>
      </c>
    </row>
    <row r="103">
      <c r="A103" s="25" t="inlineStr">
        <is>
          <t>BLCH-NE-S</t>
        </is>
      </c>
      <c r="B103" s="2" t="n"/>
      <c r="C103" s="2" t="n"/>
      <c r="D103" s="2" t="n"/>
      <c r="E103" s="29" t="n"/>
      <c r="F103" t="n">
        <v>0</v>
      </c>
    </row>
    <row r="104">
      <c r="A104" s="25" t="inlineStr">
        <is>
          <t>BLCH-NE-M</t>
        </is>
      </c>
      <c r="B104" s="2" t="n"/>
      <c r="C104" s="2" t="n"/>
      <c r="D104" s="2" t="n"/>
      <c r="E104" s="29" t="n"/>
      <c r="F104" t="n">
        <v>0</v>
      </c>
    </row>
    <row r="105">
      <c r="A105" s="25" t="inlineStr">
        <is>
          <t>BLCH-RSP-E</t>
        </is>
      </c>
      <c r="B105" s="2" t="n"/>
      <c r="C105" s="2" t="n"/>
      <c r="D105" s="2" t="n"/>
      <c r="E105" s="29" t="n"/>
      <c r="F105" t="n">
        <v>0</v>
      </c>
    </row>
    <row r="106">
      <c r="A106" s="25" t="inlineStr">
        <is>
          <t>BLCH-RSP-S</t>
        </is>
      </c>
      <c r="B106" s="2" t="n"/>
      <c r="C106" s="2" t="n"/>
      <c r="D106" s="2" t="n"/>
      <c r="E106" s="29" t="n"/>
      <c r="F106" t="n">
        <v>0</v>
      </c>
    </row>
    <row r="107">
      <c r="A107" s="25" t="inlineStr">
        <is>
          <t>BLCH-RSP-M</t>
        </is>
      </c>
      <c r="B107" s="2" t="n"/>
      <c r="C107" s="2" t="n"/>
      <c r="D107" s="2" t="n"/>
      <c r="E107" s="29" t="n"/>
      <c r="F107" t="n">
        <v>0</v>
      </c>
    </row>
    <row r="108">
      <c r="A108" s="25" t="n"/>
      <c r="B108" s="2" t="n"/>
      <c r="C108" s="2" t="n"/>
      <c r="D108" s="2" t="n"/>
      <c r="E108" s="29" t="n"/>
    </row>
    <row r="109">
      <c r="A109" s="25" t="n"/>
      <c r="B109" s="2" t="n"/>
      <c r="C109" s="2" t="n"/>
      <c r="D109" s="2" t="n"/>
      <c r="E109" s="29" t="n"/>
    </row>
    <row r="110">
      <c r="A110" s="25" t="n"/>
      <c r="B110" s="2" t="n"/>
      <c r="C110" s="2" t="n"/>
      <c r="D110" s="2" t="n"/>
      <c r="E110" s="29" t="n"/>
    </row>
    <row r="111">
      <c r="A111" s="25" t="n"/>
      <c r="B111" s="2" t="n"/>
      <c r="C111" s="2" t="n"/>
      <c r="D111" s="2" t="n"/>
      <c r="E111" s="29" t="n"/>
    </row>
    <row r="112">
      <c r="A112" s="25" t="n"/>
      <c r="B112" s="2" t="n"/>
      <c r="C112" s="2" t="n"/>
      <c r="D112" s="2" t="n"/>
      <c r="E112" s="29" t="n"/>
    </row>
    <row r="113">
      <c r="A113" s="25" t="n"/>
      <c r="B113" s="2" t="n"/>
      <c r="C113" s="2" t="n"/>
      <c r="D113" s="2" t="n"/>
      <c r="E113" s="29" t="n"/>
    </row>
    <row r="114">
      <c r="A114" s="25" t="n"/>
      <c r="B114" s="2" t="n"/>
      <c r="C114" s="2" t="n"/>
      <c r="D114" s="2" t="n"/>
      <c r="E114" s="29" t="n"/>
    </row>
    <row r="115">
      <c r="A115" s="25" t="n"/>
      <c r="B115" s="2" t="n"/>
      <c r="C115" s="2" t="n"/>
      <c r="D115" s="2" t="n"/>
      <c r="E115" s="29" t="n"/>
    </row>
    <row r="116">
      <c r="A116" s="25" t="n"/>
      <c r="B116" s="2" t="n"/>
      <c r="C116" s="2" t="n"/>
      <c r="D116" s="2" t="n"/>
      <c r="E116" s="29" t="n"/>
    </row>
    <row r="117">
      <c r="A117" s="25" t="n"/>
      <c r="B117" s="2" t="n"/>
      <c r="C117" s="2" t="n"/>
      <c r="D117" s="2" t="n"/>
      <c r="E117" s="29" t="n"/>
    </row>
    <row r="118">
      <c r="A118" s="25" t="n"/>
      <c r="B118" s="2" t="n"/>
      <c r="C118" s="2" t="n"/>
      <c r="D118" s="2" t="n"/>
      <c r="E118" s="29" t="n"/>
    </row>
    <row r="119">
      <c r="A119" s="26" t="n"/>
    </row>
    <row r="120">
      <c r="A120" s="26" t="n"/>
    </row>
    <row r="121">
      <c r="A121" s="27" t="n"/>
    </row>
    <row r="122">
      <c r="A122" s="23" t="n"/>
    </row>
    <row r="123">
      <c r="A123" s="23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N27"/>
  <sheetViews>
    <sheetView showGridLines="0" zoomScale="106" zoomScaleNormal="106" workbookViewId="0">
      <selection activeCell="I9" sqref="I9"/>
    </sheetView>
  </sheetViews>
  <sheetFormatPr baseColWidth="10" defaultColWidth="8.7109375" defaultRowHeight="15"/>
  <cols>
    <col width="20.85546875" customWidth="1" min="1" max="1"/>
    <col width="20" customWidth="1" min="2" max="2"/>
    <col width="15.7109375" customWidth="1" min="3" max="3"/>
    <col width="10" customWidth="1" min="4" max="4"/>
    <col width="12" customWidth="1" min="5" max="5"/>
    <col width="8" customWidth="1" min="6" max="6"/>
    <col width="18.7109375" customWidth="1" min="7" max="7"/>
  </cols>
  <sheetData>
    <row r="1" ht="20.25" customHeight="1">
      <c r="A1" s="22" t="inlineStr">
        <is>
          <t>PEDIDO / VENTA ÉTOILE</t>
        </is>
      </c>
    </row>
    <row r="3">
      <c r="A3" s="6" t="inlineStr">
        <is>
          <t>Nombre del cliente:</t>
        </is>
      </c>
      <c r="B3" s="5" t="n"/>
      <c r="D3" s="6" t="inlineStr">
        <is>
          <t>Teléfono:</t>
        </is>
      </c>
      <c r="E3" s="5" t="n"/>
    </row>
    <row r="5">
      <c r="A5" s="1" t="inlineStr">
        <is>
          <t>CODIGO</t>
        </is>
      </c>
      <c r="B5" s="1" t="inlineStr">
        <is>
          <t>PRENDA</t>
        </is>
      </c>
      <c r="C5" s="1" t="inlineStr">
        <is>
          <t>COLOR</t>
        </is>
      </c>
      <c r="D5" s="1" t="inlineStr">
        <is>
          <t>TALLA</t>
        </is>
      </c>
      <c r="E5" s="1" t="inlineStr">
        <is>
          <t>PRECIO</t>
        </is>
      </c>
      <c r="F5" s="1" t="inlineStr">
        <is>
          <t>CANT</t>
        </is>
      </c>
      <c r="G5" s="1" t="inlineStr">
        <is>
          <t>SUBTOTAL</t>
        </is>
      </c>
    </row>
    <row r="6">
      <c r="A6" s="8" t="n"/>
      <c r="B6" s="2">
        <f>IF(A6="","",IFERROR(INDEX(INVENTARIO!$B:$B,MATCH(A6,INVENTARIO!$A:$A,0)),"No encontrado"))</f>
        <v/>
      </c>
      <c r="C6" s="2">
        <f>IF(A6="","",IFERROR(INDEX(INVENTARIO!$C:$C,MATCH(A6,INVENTARIO!$A:$A,0)),""))</f>
        <v/>
      </c>
      <c r="D6" s="2">
        <f>IF(A6="","",IFERROR(INDEX(INVENTARIO!$D:$D,MATCH(A6,INVENTARIO!$A:$A,0)),""))</f>
        <v/>
      </c>
      <c r="E6" s="9">
        <f>IF(A6="","",IFERROR(INDEX(INVENTARIO!$E:$E,MATCH(A6,INVENTARIO!$A:$A,0)),""))</f>
        <v/>
      </c>
      <c r="F6" s="10" t="n"/>
      <c r="G6" s="9">
        <f>IF(A6="","",E6*F6)</f>
        <v/>
      </c>
    </row>
    <row r="7">
      <c r="A7" s="8" t="n"/>
      <c r="B7" s="2">
        <f>IF(A7="","",IFERROR(INDEX(INVENTARIO!$B:$B,MATCH(A7,INVENTARIO!$A:$A,0)),"No encontrado"))</f>
        <v/>
      </c>
      <c r="C7" s="2">
        <f>IF(A7="","",IFERROR(INDEX(INVENTARIO!$C:$C,MATCH(A7,INVENTARIO!$A:$A,0)),""))</f>
        <v/>
      </c>
      <c r="D7" s="2">
        <f>IF(A7="","",IFERROR(INDEX(INVENTARIO!$D:$D,MATCH(A7,INVENTARIO!$A:$A,0)),""))</f>
        <v/>
      </c>
      <c r="E7" s="9">
        <f>IF(A7="","",IFERROR(INDEX(INVENTARIO!$F:$F,MATCH(A7,INVENTARIO!$A:$A,0)),""))</f>
        <v/>
      </c>
      <c r="F7" s="10" t="n"/>
      <c r="G7" s="9">
        <f>IF(A7="","",E7*F7)</f>
        <v/>
      </c>
    </row>
    <row r="8">
      <c r="A8" s="8" t="n"/>
      <c r="B8" s="2">
        <f>IF(A8="","",IFERROR(INDEX(INVENTARIO!$B:$B,MATCH(A8,INVENTARIO!$A:$A,0)),"No encontrado"))</f>
        <v/>
      </c>
      <c r="C8" s="2">
        <f>IF(A8="","",IFERROR(INDEX(INVENTARIO!$C:$C,MATCH(A8,INVENTARIO!$A:$A,0)),""))</f>
        <v/>
      </c>
      <c r="D8" s="2">
        <f>IF(A8="","",IFERROR(INDEX(INVENTARIO!$D:$D,MATCH(A8,INVENTARIO!$A:$A,0)),""))</f>
        <v/>
      </c>
      <c r="E8" s="9">
        <f>IF(A8="","",IFERROR(INDEX(INVENTARIO!$F:$F,MATCH(A8,INVENTARIO!$A:$A,0)),""))</f>
        <v/>
      </c>
      <c r="F8" s="10" t="n"/>
      <c r="G8" s="9">
        <f>IF(A8="","",E8*F8)</f>
        <v/>
      </c>
    </row>
    <row r="9">
      <c r="A9" s="8" t="n"/>
      <c r="B9" s="2">
        <f>IF(A9="","",IFERROR(INDEX(INVENTARIO!$B:$B,MATCH(A9,INVENTARIO!$A:$A,0)),"No encontrado"))</f>
        <v/>
      </c>
      <c r="C9" s="2">
        <f>IF(A9="","",IFERROR(INDEX(INVENTARIO!$C:$C,MATCH(A9,INVENTARIO!$A:$A,0)),""))</f>
        <v/>
      </c>
      <c r="D9" s="2">
        <f>IF(A9="","",IFERROR(INDEX(INVENTARIO!$D:$D,MATCH(A9,INVENTARIO!$A:$A,0)),""))</f>
        <v/>
      </c>
      <c r="E9" s="9">
        <f>IF(A9="","",IFERROR(INDEX(INVENTARIO!$F:$F,MATCH(A9,INVENTARIO!$A:$A,0)),""))</f>
        <v/>
      </c>
      <c r="F9" s="10" t="n"/>
      <c r="G9" s="9">
        <f>IF(A9="","",E9*F9)</f>
        <v/>
      </c>
    </row>
    <row r="10">
      <c r="A10" s="8" t="n"/>
      <c r="B10" s="2">
        <f>IF(A10="","",IFERROR(INDEX(INVENTARIO!$B:$B,MATCH(A10,INVENTARIO!$A:$A,0)),"No encontrado"))</f>
        <v/>
      </c>
      <c r="C10" s="2">
        <f>IF(A10="","",IFERROR(INDEX(INVENTARIO!$C:$C,MATCH(A10,INVENTARIO!$A:$A,0)),""))</f>
        <v/>
      </c>
      <c r="D10" s="2">
        <f>IF(A10="","",IFERROR(INDEX(INVENTARIO!$D:$D,MATCH(A10,INVENTARIO!$A:$A,0)),""))</f>
        <v/>
      </c>
      <c r="E10" s="9">
        <f>IF(A10="","",IFERROR(INDEX(INVENTARIO!$F:$F,MATCH(A10,INVENTARIO!$A:$A,0)),""))</f>
        <v/>
      </c>
      <c r="F10" s="10" t="n"/>
      <c r="G10" s="9">
        <f>IF(A10="","",E10*F10)</f>
        <v/>
      </c>
    </row>
    <row r="11">
      <c r="A11" s="8" t="n"/>
      <c r="B11" s="2">
        <f>IF(A11="","",IFERROR(INDEX(INVENTARIO!$B:$B,MATCH(A11,INVENTARIO!$A:$A,0)),"No encontrado"))</f>
        <v/>
      </c>
      <c r="C11" s="2">
        <f>IF(A11="","",IFERROR(INDEX(INVENTARIO!$C:$C,MATCH(A11,INVENTARIO!$A:$A,0)),""))</f>
        <v/>
      </c>
      <c r="D11" s="2">
        <f>IF(A11="","",IFERROR(INDEX(INVENTARIO!$D:$D,MATCH(A11,INVENTARIO!$A:$A,0)),""))</f>
        <v/>
      </c>
      <c r="E11" s="9">
        <f>IF(A11="","",IFERROR(INDEX(INVENTARIO!$F:$F,MATCH(A11,INVENTARIO!$A:$A,0)),""))</f>
        <v/>
      </c>
      <c r="F11" s="10" t="n"/>
      <c r="G11" s="9">
        <f>IF(A11="","",E11*F11)</f>
        <v/>
      </c>
    </row>
    <row r="12">
      <c r="A12" s="8" t="n"/>
      <c r="B12" s="2">
        <f>IF(A12="","",IFERROR(INDEX(INVENTARIO!$B:$B,MATCH(A12,INVENTARIO!$A:$A,0)),"No encontrado"))</f>
        <v/>
      </c>
      <c r="C12" s="2">
        <f>IF(A12="","",IFERROR(INDEX(INVENTARIO!$C:$C,MATCH(A12,INVENTARIO!$A:$A,0)),""))</f>
        <v/>
      </c>
      <c r="D12" s="2">
        <f>IF(A12="","",IFERROR(INDEX(INVENTARIO!$D:$D,MATCH(A12,INVENTARIO!$A:$A,0)),""))</f>
        <v/>
      </c>
      <c r="E12" s="9">
        <f>IF(A12="","",IFERROR(INDEX(INVENTARIO!$F:$F,MATCH(A12,INVENTARIO!$A:$A,0)),""))</f>
        <v/>
      </c>
      <c r="F12" s="10" t="n"/>
      <c r="G12" s="9">
        <f>IF(A12="","",E12*F12)</f>
        <v/>
      </c>
    </row>
    <row r="13">
      <c r="A13" s="8" t="n"/>
      <c r="B13" s="2">
        <f>IF(A13="","",IFERROR(INDEX(INVENTARIO!$B:$B,MATCH(A13,INVENTARIO!$A:$A,0)),"No encontrado"))</f>
        <v/>
      </c>
      <c r="C13" s="2">
        <f>IF(A13="","",IFERROR(INDEX(INVENTARIO!$C:$C,MATCH(A13,INVENTARIO!$A:$A,0)),""))</f>
        <v/>
      </c>
      <c r="D13" s="2">
        <f>IF(A13="","",IFERROR(INDEX(INVENTARIO!$D:$D,MATCH(A13,INVENTARIO!$A:$A,0)),""))</f>
        <v/>
      </c>
      <c r="E13" s="9">
        <f>IF(A13="","",IFERROR(INDEX(INVENTARIO!$F:$F,MATCH(A13,INVENTARIO!$A:$A,0)),""))</f>
        <v/>
      </c>
      <c r="F13" s="10" t="n"/>
      <c r="G13" s="9">
        <f>IF(A13="","",E13*F13)</f>
        <v/>
      </c>
    </row>
    <row r="14">
      <c r="A14" s="8" t="n"/>
      <c r="B14" s="2">
        <f>IF(A14="","",IFERROR(INDEX(INVENTARIO!$B:$B,MATCH(A14,INVENTARIO!$A:$A,0)),"No encontrado"))</f>
        <v/>
      </c>
      <c r="C14" s="2">
        <f>IF(A14="","",IFERROR(INDEX(INVENTARIO!$C:$C,MATCH(A14,INVENTARIO!$A:$A,0)),""))</f>
        <v/>
      </c>
      <c r="D14" s="2">
        <f>IF(A14="","",IFERROR(INDEX(INVENTARIO!$D:$D,MATCH(A14,INVENTARIO!$A:$A,0)),""))</f>
        <v/>
      </c>
      <c r="E14" s="9">
        <f>IF(A14="","",IFERROR(INDEX(INVENTARIO!$F:$F,MATCH(A14,INVENTARIO!$A:$A,0)),""))</f>
        <v/>
      </c>
      <c r="F14" s="10" t="n"/>
      <c r="G14" s="9">
        <f>IF(A14="","",E14*F14)</f>
        <v/>
      </c>
    </row>
    <row r="15">
      <c r="A15" s="8" t="n"/>
      <c r="B15" s="2">
        <f>IF(A15="","",IFERROR(INDEX(INVENTARIO!$B:$B,MATCH(A15,INVENTARIO!$A:$A,0)),"No encontrado"))</f>
        <v/>
      </c>
      <c r="C15" s="2">
        <f>IF(A15="","",IFERROR(INDEX(INVENTARIO!$C:$C,MATCH(A15,INVENTARIO!$A:$A,0)),""))</f>
        <v/>
      </c>
      <c r="D15" s="2">
        <f>IF(A15="","",IFERROR(INDEX(INVENTARIO!$D:$D,MATCH(A15,INVENTARIO!$A:$A,0)),""))</f>
        <v/>
      </c>
      <c r="E15" s="9">
        <f>IF(A15="","",IFERROR(INDEX(INVENTARIO!$F:$F,MATCH(A15,INVENTARIO!$A:$A,0)),""))</f>
        <v/>
      </c>
      <c r="F15" s="10" t="n"/>
      <c r="G15" s="9">
        <f>IF(A15="","",E15*F15)</f>
        <v/>
      </c>
    </row>
    <row r="16">
      <c r="A16" s="8" t="n"/>
      <c r="B16" s="2">
        <f>IF(A16="","",IFERROR(INDEX(INVENTARIO!$B:$B,MATCH(A16,INVENTARIO!$A:$A,0)),"No encontrado"))</f>
        <v/>
      </c>
      <c r="C16" s="2">
        <f>IF(A16="","",IFERROR(INDEX(INVENTARIO!$C:$C,MATCH(A16,INVENTARIO!$A:$A,0)),""))</f>
        <v/>
      </c>
      <c r="D16" s="2">
        <f>IF(A16="","",IFERROR(INDEX(INVENTARIO!$D:$D,MATCH(A16,INVENTARIO!$A:$A,0)),""))</f>
        <v/>
      </c>
      <c r="E16" s="9">
        <f>IF(A16="","",IFERROR(INDEX(INVENTARIO!$F:$F,MATCH(A16,INVENTARIO!$A:$A,0)),""))</f>
        <v/>
      </c>
      <c r="F16" s="10" t="n"/>
      <c r="G16" s="9">
        <f>IF(A16="","",E16*F16)</f>
        <v/>
      </c>
    </row>
    <row r="17">
      <c r="A17" s="8" t="n"/>
      <c r="B17" s="2">
        <f>IF(A17="","",IFERROR(INDEX(INVENTARIO!$B:$B,MATCH(A17,INVENTARIO!$A:$A,0)),"No encontrado"))</f>
        <v/>
      </c>
      <c r="C17" s="2">
        <f>IF(A17="","",IFERROR(INDEX(INVENTARIO!$C:$C,MATCH(A17,INVENTARIO!$A:$A,0)),""))</f>
        <v/>
      </c>
      <c r="D17" s="2">
        <f>IF(A17="","",IFERROR(INDEX(INVENTARIO!$D:$D,MATCH(A17,INVENTARIO!$A:$A,0)),""))</f>
        <v/>
      </c>
      <c r="E17" s="9">
        <f>IF(A17="","",IFERROR(INDEX(INVENTARIO!$F:$F,MATCH(A17,INVENTARIO!$A:$A,0)),""))</f>
        <v/>
      </c>
      <c r="F17" s="10" t="n"/>
      <c r="G17" s="9">
        <f>IF(A17="","",E17*F17)</f>
        <v/>
      </c>
    </row>
    <row r="18">
      <c r="A18" s="8" t="n"/>
      <c r="B18" s="2">
        <f>IF(A18="","",IFERROR(INDEX(INVENTARIO!$B:$B,MATCH(A18,INVENTARIO!$A:$A,0)),"No encontrado"))</f>
        <v/>
      </c>
      <c r="C18" s="2">
        <f>IF(A18="","",IFERROR(INDEX(INVENTARIO!$C:$C,MATCH(A18,INVENTARIO!$A:$A,0)),""))</f>
        <v/>
      </c>
      <c r="D18" s="2">
        <f>IF(A18="","",IFERROR(INDEX(INVENTARIO!$D:$D,MATCH(A18,INVENTARIO!$A:$A,0)),""))</f>
        <v/>
      </c>
      <c r="E18" s="9">
        <f>IF(A18="","",IFERROR(INDEX(INVENTARIO!$F:$F,MATCH(A18,INVENTARIO!$A:$A,0)),""))</f>
        <v/>
      </c>
      <c r="F18" s="10" t="n"/>
      <c r="G18" s="9">
        <f>IF(A18="","",E18*F18)</f>
        <v/>
      </c>
    </row>
    <row r="19">
      <c r="A19" s="8" t="n"/>
      <c r="B19" s="2">
        <f>IF(A19="","",IFERROR(INDEX(INVENTARIO!$B:$B,MATCH(A19,INVENTARIO!$A:$A,0)),"No encontrado"))</f>
        <v/>
      </c>
      <c r="C19" s="2">
        <f>IF(A19="","",IFERROR(INDEX(INVENTARIO!$C:$C,MATCH(A19,INVENTARIO!$A:$A,0)),""))</f>
        <v/>
      </c>
      <c r="D19" s="2">
        <f>IF(A19="","",IFERROR(INDEX(INVENTARIO!$D:$D,MATCH(A19,INVENTARIO!$A:$A,0)),""))</f>
        <v/>
      </c>
      <c r="E19" s="9">
        <f>IF(A19="","",IFERROR(INDEX(INVENTARIO!$F:$F,MATCH(A19,INVENTARIO!$A:$A,0)),""))</f>
        <v/>
      </c>
      <c r="F19" s="10" t="n"/>
      <c r="G19" s="9">
        <f>IF(A19="","",E19*F19)</f>
        <v/>
      </c>
    </row>
    <row r="20">
      <c r="A20" s="8" t="n"/>
      <c r="B20" s="2">
        <f>IF(A20="","",IFERROR(INDEX(INVENTARIO!$B:$B,MATCH(A20,INVENTARIO!$A:$A,0)),"No encontrado"))</f>
        <v/>
      </c>
      <c r="C20" s="2">
        <f>IF(A20="","",IFERROR(INDEX(INVENTARIO!$C:$C,MATCH(A20,INVENTARIO!$A:$A,0)),""))</f>
        <v/>
      </c>
      <c r="D20" s="2">
        <f>IF(A20="","",IFERROR(INDEX(INVENTARIO!$D:$D,MATCH(A20,INVENTARIO!$A:$A,0)),""))</f>
        <v/>
      </c>
      <c r="E20" s="9">
        <f>IF(A20="","",IFERROR(INDEX(INVENTARIO!$F:$F,MATCH(A20,INVENTARIO!$A:$A,0)),""))</f>
        <v/>
      </c>
      <c r="F20" s="10" t="n"/>
      <c r="G20" s="9">
        <f>IF(A20="","",E20*F20)</f>
        <v/>
      </c>
    </row>
    <row r="22" ht="15.75" customHeight="1">
      <c r="A22" s="11" t="inlineStr">
        <is>
          <t>TOTAL</t>
        </is>
      </c>
      <c r="G22" s="12">
        <f>SUM(G6:G20)</f>
        <v/>
      </c>
    </row>
    <row r="23">
      <c r="A23" s="6" t="inlineStr">
        <is>
          <t>DESCUENTO %</t>
        </is>
      </c>
      <c r="B23" s="13" t="n">
        <v>10</v>
      </c>
    </row>
    <row r="24">
      <c r="A24" s="6" t="inlineStr">
        <is>
          <t>MONTO DESCUENTO</t>
        </is>
      </c>
      <c r="G24" s="14">
        <f>G22*B23/100</f>
        <v/>
      </c>
    </row>
    <row r="25" ht="15.75" customHeight="1">
      <c r="A25" s="24" t="inlineStr">
        <is>
          <t>TOTAL CON DESCUENTO</t>
        </is>
      </c>
      <c r="B25" s="16" t="n"/>
      <c r="C25" s="16" t="n"/>
      <c r="D25" s="16" t="n"/>
      <c r="E25" s="16" t="n"/>
      <c r="F25" s="16" t="n"/>
      <c r="G25" s="17">
        <f>G22-G24</f>
        <v/>
      </c>
    </row>
    <row r="27">
      <c r="A27" s="23" t="inlineStr">
        <is>
          <t>Instrucciones: escribe el CODIGO (hoja INVENTARIO) en la columna A y la cantidad en F. Todo lo demás se llena solo.</t>
        </is>
      </c>
      <c r="H27" s="23" t="n"/>
    </row>
  </sheetData>
  <mergeCells count="3">
    <mergeCell ref="A27:G27"/>
    <mergeCell ref="H27:N27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M241"/>
  <sheetViews>
    <sheetView showGridLines="0" zoomScaleNormal="100" workbookViewId="0">
      <selection activeCell="B5" sqref="B5"/>
    </sheetView>
  </sheetViews>
  <sheetFormatPr baseColWidth="10" defaultColWidth="8.7109375" defaultRowHeight="15"/>
  <cols>
    <col width="12" customWidth="1" min="1" max="1"/>
    <col width="24" customWidth="1" min="2" max="2"/>
    <col width="18" customWidth="1" min="3" max="3"/>
    <col width="12" customWidth="1" min="4" max="4"/>
    <col width="10" customWidth="1" min="5" max="5"/>
    <col width="8" customWidth="1" min="6" max="6"/>
    <col width="12" customWidth="1" min="7" max="8"/>
    <col width="16" customWidth="1" min="9" max="9"/>
  </cols>
  <sheetData>
    <row r="1" ht="20.25" customHeight="1">
      <c r="A1" s="22" t="inlineStr">
        <is>
          <t>HISTORIAL DE VENTAS ÉTOILE</t>
        </is>
      </c>
    </row>
    <row r="2">
      <c r="A2" s="23" t="inlineStr">
        <is>
          <t>Registra aquí cada venta CONFIRMADA (una fila por prenda vendida). Esto alimenta el STOCK DISPONIBLE en INVENTARIO.</t>
        </is>
      </c>
    </row>
    <row r="4">
      <c r="A4" s="1" t="inlineStr">
        <is>
          <t>FECHA</t>
        </is>
      </c>
      <c r="B4" s="1" t="inlineStr">
        <is>
          <t>CODIGO</t>
        </is>
      </c>
      <c r="C4" s="1" t="inlineStr">
        <is>
          <t>PRENDA</t>
        </is>
      </c>
      <c r="D4" s="1" t="inlineStr">
        <is>
          <t>COLOR</t>
        </is>
      </c>
      <c r="E4" s="1" t="inlineStr">
        <is>
          <t>TALLA</t>
        </is>
      </c>
      <c r="F4" s="1" t="inlineStr">
        <is>
          <t>CANT</t>
        </is>
      </c>
      <c r="G4" s="1" t="inlineStr">
        <is>
          <t>PRECIO</t>
        </is>
      </c>
      <c r="H4" s="1" t="inlineStr">
        <is>
          <t>SUBTOTAL</t>
        </is>
      </c>
      <c r="I4" s="1" t="inlineStr">
        <is>
          <t>CLIENTE</t>
        </is>
      </c>
      <c r="J4" s="28" t="inlineStr">
        <is>
          <t>PEDIDO_ID</t>
        </is>
      </c>
      <c r="K4" s="28" t="inlineStr">
        <is>
          <t>TELEFONO</t>
        </is>
      </c>
      <c r="L4" s="28" t="inlineStr">
        <is>
          <t>METODO_PAGO</t>
        </is>
      </c>
      <c r="M4" s="28" t="inlineStr">
        <is>
          <t>NUM_TRANSACCION</t>
        </is>
      </c>
    </row>
    <row r="5">
      <c r="A5" s="18" t="n"/>
      <c r="B5" s="5" t="n"/>
      <c r="C5" s="2" t="n"/>
      <c r="D5" s="2" t="n"/>
      <c r="E5" s="2" t="n"/>
      <c r="F5" s="10" t="n"/>
      <c r="G5" s="9" t="n"/>
      <c r="H5" s="19" t="n"/>
      <c r="I5" s="5" t="n"/>
    </row>
    <row r="6">
      <c r="A6" s="18" t="n"/>
      <c r="B6" s="5" t="n"/>
      <c r="C6" s="2">
        <f>IF(B6="","",IFERROR(INDEX(INVENTARIO!$B:$B,MATCH(B6,INVENTARIO!$A:$A,0)),"No encontrado"))</f>
        <v/>
      </c>
      <c r="D6" s="2">
        <f>IF(B6="","",IFERROR(INDEX(INVENTARIO!$C:$C,MATCH(B6,INVENTARIO!$A:$A,0)),""))</f>
        <v/>
      </c>
      <c r="E6" s="2">
        <f>IF(B6="","",IFERROR(INDEX(INVENTARIO!$D:$D,MATCH(B6,INVENTARIO!$A:$A,0)),""))</f>
        <v/>
      </c>
      <c r="F6" s="10" t="n"/>
      <c r="G6" s="9">
        <f>IF(B6="","",IFERROR(INDEX(INVENTARIO!$F:$F,MATCH(B6,INVENTARIO!$A:$A,0)),""))</f>
        <v/>
      </c>
      <c r="H6" s="19">
        <f>IF(B6="","",G6*F6)</f>
        <v/>
      </c>
      <c r="I6" s="5" t="n"/>
    </row>
    <row r="7">
      <c r="A7" s="18" t="n"/>
      <c r="B7" s="5" t="n"/>
      <c r="C7" s="2">
        <f>IF(B7="","",IFERROR(INDEX(INVENTARIO!$B:$B,MATCH(B7,INVENTARIO!$A:$A,0)),"No encontrado"))</f>
        <v/>
      </c>
      <c r="D7" s="2">
        <f>IF(B7="","",IFERROR(INDEX(INVENTARIO!$C:$C,MATCH(B7,INVENTARIO!$A:$A,0)),""))</f>
        <v/>
      </c>
      <c r="E7" s="2">
        <f>IF(B7="","",IFERROR(INDEX(INVENTARIO!$D:$D,MATCH(B7,INVENTARIO!$A:$A,0)),""))</f>
        <v/>
      </c>
      <c r="F7" s="10" t="n"/>
      <c r="G7" s="9">
        <f>IF(B7="","",IFERROR(INDEX(INVENTARIO!$F:$F,MATCH(B7,INVENTARIO!$A:$A,0)),""))</f>
        <v/>
      </c>
      <c r="H7" s="19">
        <f>IF(B7="","",G7*F7)</f>
        <v/>
      </c>
      <c r="I7" s="5" t="n"/>
    </row>
    <row r="8">
      <c r="A8" s="18" t="n"/>
      <c r="B8" s="5" t="n"/>
      <c r="C8" s="2">
        <f>IF(B8="","",IFERROR(INDEX(INVENTARIO!$B:$B,MATCH(B8,INVENTARIO!$A:$A,0)),"No encontrado"))</f>
        <v/>
      </c>
      <c r="D8" s="2">
        <f>IF(B8="","",IFERROR(INDEX(INVENTARIO!$C:$C,MATCH(B8,INVENTARIO!$A:$A,0)),""))</f>
        <v/>
      </c>
      <c r="E8" s="2">
        <f>IF(B8="","",IFERROR(INDEX(INVENTARIO!$D:$D,MATCH(B8,INVENTARIO!$A:$A,0)),""))</f>
        <v/>
      </c>
      <c r="F8" s="10" t="n"/>
      <c r="G8" s="9">
        <f>IF(B8="","",IFERROR(INDEX(INVENTARIO!$F:$F,MATCH(B8,INVENTARIO!$A:$A,0)),""))</f>
        <v/>
      </c>
      <c r="H8" s="19">
        <f>IF(B8="","",G8*F8)</f>
        <v/>
      </c>
      <c r="I8" s="5" t="n"/>
    </row>
    <row r="9">
      <c r="A9" s="18" t="n"/>
      <c r="B9" s="5" t="n"/>
      <c r="C9" s="2">
        <f>IF(B9="","",IFERROR(INDEX(INVENTARIO!$B:$B,MATCH(B9,INVENTARIO!$A:$A,0)),"No encontrado"))</f>
        <v/>
      </c>
      <c r="D9" s="2">
        <f>IF(B9="","",IFERROR(INDEX(INVENTARIO!$C:$C,MATCH(B9,INVENTARIO!$A:$A,0)),""))</f>
        <v/>
      </c>
      <c r="E9" s="2">
        <f>IF(B9="","",IFERROR(INDEX(INVENTARIO!$D:$D,MATCH(B9,INVENTARIO!$A:$A,0)),""))</f>
        <v/>
      </c>
      <c r="F9" s="10" t="n"/>
      <c r="G9" s="9">
        <f>IF(B9="","",IFERROR(INDEX(INVENTARIO!$F:$F,MATCH(B9,INVENTARIO!$A:$A,0)),""))</f>
        <v/>
      </c>
      <c r="H9" s="19">
        <f>IF(B9="","",G9*F9)</f>
        <v/>
      </c>
      <c r="I9" s="5" t="n"/>
    </row>
    <row r="10">
      <c r="A10" s="18" t="n"/>
      <c r="B10" s="5" t="n"/>
      <c r="C10" s="2">
        <f>IF(B10="","",IFERROR(INDEX(INVENTARIO!$B:$B,MATCH(B10,INVENTARIO!$A:$A,0)),"No encontrado"))</f>
        <v/>
      </c>
      <c r="D10" s="2">
        <f>IF(B10="","",IFERROR(INDEX(INVENTARIO!$C:$C,MATCH(B10,INVENTARIO!$A:$A,0)),""))</f>
        <v/>
      </c>
      <c r="E10" s="2">
        <f>IF(B10="","",IFERROR(INDEX(INVENTARIO!$D:$D,MATCH(B10,INVENTARIO!$A:$A,0)),""))</f>
        <v/>
      </c>
      <c r="F10" s="10" t="n"/>
      <c r="G10" s="9">
        <f>IF(B10="","",IFERROR(INDEX(INVENTARIO!$F:$F,MATCH(B10,INVENTARIO!$A:$A,0)),""))</f>
        <v/>
      </c>
      <c r="H10" s="19">
        <f>IF(B10="","",G10*F10)</f>
        <v/>
      </c>
      <c r="I10" s="5" t="n"/>
    </row>
    <row r="11">
      <c r="A11" s="18" t="n"/>
      <c r="B11" s="5" t="n"/>
      <c r="C11" s="2">
        <f>IF(B11="","",IFERROR(INDEX(INVENTARIO!$B:$B,MATCH(B11,INVENTARIO!$A:$A,0)),"No encontrado"))</f>
        <v/>
      </c>
      <c r="D11" s="2">
        <f>IF(B11="","",IFERROR(INDEX(INVENTARIO!$C:$C,MATCH(B11,INVENTARIO!$A:$A,0)),""))</f>
        <v/>
      </c>
      <c r="E11" s="2">
        <f>IF(B11="","",IFERROR(INDEX(INVENTARIO!$D:$D,MATCH(B11,INVENTARIO!$A:$A,0)),""))</f>
        <v/>
      </c>
      <c r="F11" s="10" t="n"/>
      <c r="G11" s="9">
        <f>IF(B11="","",IFERROR(INDEX(INVENTARIO!$F:$F,MATCH(B11,INVENTARIO!$A:$A,0)),""))</f>
        <v/>
      </c>
      <c r="H11" s="19">
        <f>IF(B11="","",G11*F11)</f>
        <v/>
      </c>
      <c r="I11" s="5" t="n"/>
    </row>
    <row r="12">
      <c r="A12" s="18" t="n"/>
      <c r="B12" s="5" t="n"/>
      <c r="C12" s="2">
        <f>IF(B12="","",IFERROR(INDEX(INVENTARIO!$B:$B,MATCH(B12,INVENTARIO!$A:$A,0)),"No encontrado"))</f>
        <v/>
      </c>
      <c r="D12" s="2">
        <f>IF(B12="","",IFERROR(INDEX(INVENTARIO!$C:$C,MATCH(B12,INVENTARIO!$A:$A,0)),""))</f>
        <v/>
      </c>
      <c r="E12" s="2">
        <f>IF(B12="","",IFERROR(INDEX(INVENTARIO!$D:$D,MATCH(B12,INVENTARIO!$A:$A,0)),""))</f>
        <v/>
      </c>
      <c r="F12" s="10" t="n"/>
      <c r="G12" s="9">
        <f>IF(B12="","",IFERROR(INDEX(INVENTARIO!$F:$F,MATCH(B12,INVENTARIO!$A:$A,0)),""))</f>
        <v/>
      </c>
      <c r="H12" s="19">
        <f>IF(B12="","",G12*F12)</f>
        <v/>
      </c>
      <c r="I12" s="5" t="n"/>
    </row>
    <row r="13">
      <c r="A13" s="18" t="n"/>
      <c r="B13" s="5" t="n"/>
      <c r="C13" s="2">
        <f>IF(B13="","",IFERROR(INDEX(INVENTARIO!$B:$B,MATCH(B13,INVENTARIO!$A:$A,0)),"No encontrado"))</f>
        <v/>
      </c>
      <c r="D13" s="2">
        <f>IF(B13="","",IFERROR(INDEX(INVENTARIO!$C:$C,MATCH(B13,INVENTARIO!$A:$A,0)),""))</f>
        <v/>
      </c>
      <c r="E13" s="2">
        <f>IF(B13="","",IFERROR(INDEX(INVENTARIO!$D:$D,MATCH(B13,INVENTARIO!$A:$A,0)),""))</f>
        <v/>
      </c>
      <c r="F13" s="10" t="n"/>
      <c r="G13" s="9">
        <f>IF(B13="","",IFERROR(INDEX(INVENTARIO!$F:$F,MATCH(B13,INVENTARIO!$A:$A,0)),""))</f>
        <v/>
      </c>
      <c r="H13" s="19">
        <f>IF(B13="","",G13*F13)</f>
        <v/>
      </c>
      <c r="I13" s="5" t="n"/>
    </row>
    <row r="14">
      <c r="A14" s="18" t="n"/>
      <c r="B14" s="5" t="n"/>
      <c r="C14" s="2">
        <f>IF(B14="","",IFERROR(INDEX(INVENTARIO!$B:$B,MATCH(B14,INVENTARIO!$A:$A,0)),"No encontrado"))</f>
        <v/>
      </c>
      <c r="D14" s="2">
        <f>IF(B14="","",IFERROR(INDEX(INVENTARIO!$C:$C,MATCH(B14,INVENTARIO!$A:$A,0)),""))</f>
        <v/>
      </c>
      <c r="E14" s="2">
        <f>IF(B14="","",IFERROR(INDEX(INVENTARIO!$D:$D,MATCH(B14,INVENTARIO!$A:$A,0)),""))</f>
        <v/>
      </c>
      <c r="F14" s="10" t="n"/>
      <c r="G14" s="9">
        <f>IF(B14="","",IFERROR(INDEX(INVENTARIO!$F:$F,MATCH(B14,INVENTARIO!$A:$A,0)),""))</f>
        <v/>
      </c>
      <c r="H14" s="19">
        <f>IF(B14="","",G14*F14)</f>
        <v/>
      </c>
      <c r="I14" s="5" t="n"/>
    </row>
    <row r="15">
      <c r="A15" s="18" t="n"/>
      <c r="B15" s="5" t="n"/>
      <c r="C15" s="2">
        <f>IF(B15="","",IFERROR(INDEX(INVENTARIO!$B:$B,MATCH(B15,INVENTARIO!$A:$A,0)),"No encontrado"))</f>
        <v/>
      </c>
      <c r="D15" s="2">
        <f>IF(B15="","",IFERROR(INDEX(INVENTARIO!$C:$C,MATCH(B15,INVENTARIO!$A:$A,0)),""))</f>
        <v/>
      </c>
      <c r="E15" s="2">
        <f>IF(B15="","",IFERROR(INDEX(INVENTARIO!$D:$D,MATCH(B15,INVENTARIO!$A:$A,0)),""))</f>
        <v/>
      </c>
      <c r="F15" s="10" t="n"/>
      <c r="G15" s="9">
        <f>IF(B15="","",IFERROR(INDEX(INVENTARIO!$F:$F,MATCH(B15,INVENTARIO!$A:$A,0)),""))</f>
        <v/>
      </c>
      <c r="H15" s="19">
        <f>IF(B15="","",G15*F15)</f>
        <v/>
      </c>
      <c r="I15" s="5" t="n"/>
    </row>
    <row r="16">
      <c r="A16" s="18" t="n"/>
      <c r="B16" s="5" t="n"/>
      <c r="C16" s="2">
        <f>IF(B16="","",IFERROR(INDEX(INVENTARIO!$B:$B,MATCH(B16,INVENTARIO!$A:$A,0)),"No encontrado"))</f>
        <v/>
      </c>
      <c r="D16" s="2">
        <f>IF(B16="","",IFERROR(INDEX(INVENTARIO!$C:$C,MATCH(B16,INVENTARIO!$A:$A,0)),""))</f>
        <v/>
      </c>
      <c r="E16" s="2">
        <f>IF(B16="","",IFERROR(INDEX(INVENTARIO!$D:$D,MATCH(B16,INVENTARIO!$A:$A,0)),""))</f>
        <v/>
      </c>
      <c r="F16" s="10" t="n"/>
      <c r="G16" s="9">
        <f>IF(B16="","",IFERROR(INDEX(INVENTARIO!$F:$F,MATCH(B16,INVENTARIO!$A:$A,0)),""))</f>
        <v/>
      </c>
      <c r="H16" s="19">
        <f>IF(B16="","",G16*F16)</f>
        <v/>
      </c>
      <c r="I16" s="5" t="n"/>
    </row>
    <row r="17">
      <c r="A17" s="18" t="n"/>
      <c r="B17" s="5" t="n"/>
      <c r="C17" s="2">
        <f>IF(B17="","",IFERROR(INDEX(INVENTARIO!$B:$B,MATCH(B17,INVENTARIO!$A:$A,0)),"No encontrado"))</f>
        <v/>
      </c>
      <c r="D17" s="2">
        <f>IF(B17="","",IFERROR(INDEX(INVENTARIO!$C:$C,MATCH(B17,INVENTARIO!$A:$A,0)),""))</f>
        <v/>
      </c>
      <c r="E17" s="2">
        <f>IF(B17="","",IFERROR(INDEX(INVENTARIO!$D:$D,MATCH(B17,INVENTARIO!$A:$A,0)),""))</f>
        <v/>
      </c>
      <c r="F17" s="10" t="n"/>
      <c r="G17" s="9">
        <f>IF(B17="","",IFERROR(INDEX(INVENTARIO!$F:$F,MATCH(B17,INVENTARIO!$A:$A,0)),""))</f>
        <v/>
      </c>
      <c r="H17" s="19">
        <f>IF(B17="","",G17*F17)</f>
        <v/>
      </c>
      <c r="I17" s="5" t="n"/>
    </row>
    <row r="18">
      <c r="A18" s="18" t="n"/>
      <c r="B18" s="5" t="n"/>
      <c r="C18" s="2">
        <f>IF(B18="","",IFERROR(INDEX(INVENTARIO!$B:$B,MATCH(B18,INVENTARIO!$A:$A,0)),"No encontrado"))</f>
        <v/>
      </c>
      <c r="D18" s="2">
        <f>IF(B18="","",IFERROR(INDEX(INVENTARIO!$C:$C,MATCH(B18,INVENTARIO!$A:$A,0)),""))</f>
        <v/>
      </c>
      <c r="E18" s="2">
        <f>IF(B18="","",IFERROR(INDEX(INVENTARIO!$D:$D,MATCH(B18,INVENTARIO!$A:$A,0)),""))</f>
        <v/>
      </c>
      <c r="F18" s="10" t="n"/>
      <c r="G18" s="9">
        <f>IF(B18="","",IFERROR(INDEX(INVENTARIO!$F:$F,MATCH(B18,INVENTARIO!$A:$A,0)),""))</f>
        <v/>
      </c>
      <c r="H18" s="19">
        <f>IF(B18="","",G18*F18)</f>
        <v/>
      </c>
      <c r="I18" s="5" t="n"/>
    </row>
    <row r="19">
      <c r="A19" s="18" t="n"/>
      <c r="B19" s="5" t="n"/>
      <c r="C19" s="2">
        <f>IF(B19="","",IFERROR(INDEX(INVENTARIO!$B:$B,MATCH(B19,INVENTARIO!$A:$A,0)),"No encontrado"))</f>
        <v/>
      </c>
      <c r="D19" s="2">
        <f>IF(B19="","",IFERROR(INDEX(INVENTARIO!$C:$C,MATCH(B19,INVENTARIO!$A:$A,0)),""))</f>
        <v/>
      </c>
      <c r="E19" s="2">
        <f>IF(B19="","",IFERROR(INDEX(INVENTARIO!$D:$D,MATCH(B19,INVENTARIO!$A:$A,0)),""))</f>
        <v/>
      </c>
      <c r="F19" s="10" t="n"/>
      <c r="G19" s="9">
        <f>IF(B19="","",IFERROR(INDEX(INVENTARIO!$F:$F,MATCH(B19,INVENTARIO!$A:$A,0)),""))</f>
        <v/>
      </c>
      <c r="H19" s="19">
        <f>IF(B19="","",G19*F19)</f>
        <v/>
      </c>
      <c r="I19" s="5" t="n"/>
    </row>
    <row r="20">
      <c r="A20" s="18" t="n"/>
      <c r="B20" s="5" t="n"/>
      <c r="C20" s="2">
        <f>IF(B20="","",IFERROR(INDEX(INVENTARIO!$B:$B,MATCH(B20,INVENTARIO!$A:$A,0)),"No encontrado"))</f>
        <v/>
      </c>
      <c r="D20" s="2">
        <f>IF(B20="","",IFERROR(INDEX(INVENTARIO!$C:$C,MATCH(B20,INVENTARIO!$A:$A,0)),""))</f>
        <v/>
      </c>
      <c r="E20" s="2">
        <f>IF(B20="","",IFERROR(INDEX(INVENTARIO!$D:$D,MATCH(B20,INVENTARIO!$A:$A,0)),""))</f>
        <v/>
      </c>
      <c r="F20" s="10" t="n"/>
      <c r="G20" s="9">
        <f>IF(B20="","",IFERROR(INDEX(INVENTARIO!$F:$F,MATCH(B20,INVENTARIO!$A:$A,0)),""))</f>
        <v/>
      </c>
      <c r="H20" s="19">
        <f>IF(B20="","",G20*F20)</f>
        <v/>
      </c>
      <c r="I20" s="5" t="n"/>
    </row>
    <row r="21">
      <c r="A21" s="18" t="n"/>
      <c r="B21" s="5" t="n"/>
      <c r="C21" s="2">
        <f>IF(B21="","",IFERROR(INDEX(INVENTARIO!$B:$B,MATCH(B21,INVENTARIO!$A:$A,0)),"No encontrado"))</f>
        <v/>
      </c>
      <c r="D21" s="2">
        <f>IF(B21="","",IFERROR(INDEX(INVENTARIO!$C:$C,MATCH(B21,INVENTARIO!$A:$A,0)),""))</f>
        <v/>
      </c>
      <c r="E21" s="2">
        <f>IF(B21="","",IFERROR(INDEX(INVENTARIO!$D:$D,MATCH(B21,INVENTARIO!$A:$A,0)),""))</f>
        <v/>
      </c>
      <c r="F21" s="10" t="n"/>
      <c r="G21" s="9">
        <f>IF(B21="","",IFERROR(INDEX(INVENTARIO!$F:$F,MATCH(B21,INVENTARIO!$A:$A,0)),""))</f>
        <v/>
      </c>
      <c r="H21" s="19">
        <f>IF(B21="","",G21*F21)</f>
        <v/>
      </c>
      <c r="I21" s="5" t="n"/>
    </row>
    <row r="22">
      <c r="A22" s="18" t="n"/>
      <c r="B22" s="5" t="n"/>
      <c r="C22" s="2">
        <f>IF(B22="","",IFERROR(INDEX(INVENTARIO!$B:$B,MATCH(B22,INVENTARIO!$A:$A,0)),"No encontrado"))</f>
        <v/>
      </c>
      <c r="D22" s="2">
        <f>IF(B22="","",IFERROR(INDEX(INVENTARIO!$C:$C,MATCH(B22,INVENTARIO!$A:$A,0)),""))</f>
        <v/>
      </c>
      <c r="E22" s="2">
        <f>IF(B22="","",IFERROR(INDEX(INVENTARIO!$D:$D,MATCH(B22,INVENTARIO!$A:$A,0)),""))</f>
        <v/>
      </c>
      <c r="F22" s="10" t="n"/>
      <c r="G22" s="9">
        <f>IF(B22="","",IFERROR(INDEX(INVENTARIO!$F:$F,MATCH(B22,INVENTARIO!$A:$A,0)),""))</f>
        <v/>
      </c>
      <c r="H22" s="19">
        <f>IF(B22="","",G22*F22)</f>
        <v/>
      </c>
      <c r="I22" s="5" t="n"/>
    </row>
    <row r="23">
      <c r="A23" s="18" t="n"/>
      <c r="B23" s="5" t="n"/>
      <c r="C23" s="2">
        <f>IF(B23="","",IFERROR(INDEX(INVENTARIO!$B:$B,MATCH(B23,INVENTARIO!$A:$A,0)),"No encontrado"))</f>
        <v/>
      </c>
      <c r="D23" s="2">
        <f>IF(B23="","",IFERROR(INDEX(INVENTARIO!$C:$C,MATCH(B23,INVENTARIO!$A:$A,0)),""))</f>
        <v/>
      </c>
      <c r="E23" s="2">
        <f>IF(B23="","",IFERROR(INDEX(INVENTARIO!$D:$D,MATCH(B23,INVENTARIO!$A:$A,0)),""))</f>
        <v/>
      </c>
      <c r="F23" s="10" t="n"/>
      <c r="G23" s="9">
        <f>IF(B23="","",IFERROR(INDEX(INVENTARIO!$F:$F,MATCH(B23,INVENTARIO!$A:$A,0)),""))</f>
        <v/>
      </c>
      <c r="H23" s="19">
        <f>IF(B23="","",G23*F23)</f>
        <v/>
      </c>
      <c r="I23" s="5" t="n"/>
    </row>
    <row r="24">
      <c r="A24" s="18" t="n"/>
      <c r="B24" s="5" t="n"/>
      <c r="C24" s="2">
        <f>IF(B24="","",IFERROR(INDEX(INVENTARIO!$B:$B,MATCH(B24,INVENTARIO!$A:$A,0)),"No encontrado"))</f>
        <v/>
      </c>
      <c r="D24" s="2">
        <f>IF(B24="","",IFERROR(INDEX(INVENTARIO!$C:$C,MATCH(B24,INVENTARIO!$A:$A,0)),""))</f>
        <v/>
      </c>
      <c r="E24" s="2">
        <f>IF(B24="","",IFERROR(INDEX(INVENTARIO!$D:$D,MATCH(B24,INVENTARIO!$A:$A,0)),""))</f>
        <v/>
      </c>
      <c r="F24" s="10" t="n"/>
      <c r="G24" s="9">
        <f>IF(B24="","",IFERROR(INDEX(INVENTARIO!$F:$F,MATCH(B24,INVENTARIO!$A:$A,0)),""))</f>
        <v/>
      </c>
      <c r="H24" s="19">
        <f>IF(B24="","",G24*F24)</f>
        <v/>
      </c>
      <c r="I24" s="5" t="n"/>
    </row>
    <row r="25">
      <c r="A25" s="18" t="n"/>
      <c r="B25" s="5" t="n"/>
      <c r="C25" s="2">
        <f>IF(B25="","",IFERROR(INDEX(INVENTARIO!$B:$B,MATCH(B25,INVENTARIO!$A:$A,0)),"No encontrado"))</f>
        <v/>
      </c>
      <c r="D25" s="2">
        <f>IF(B25="","",IFERROR(INDEX(INVENTARIO!$C:$C,MATCH(B25,INVENTARIO!$A:$A,0)),""))</f>
        <v/>
      </c>
      <c r="E25" s="2">
        <f>IF(B25="","",IFERROR(INDEX(INVENTARIO!$D:$D,MATCH(B25,INVENTARIO!$A:$A,0)),""))</f>
        <v/>
      </c>
      <c r="F25" s="10" t="n"/>
      <c r="G25" s="9">
        <f>IF(B25="","",IFERROR(INDEX(INVENTARIO!$F:$F,MATCH(B25,INVENTARIO!$A:$A,0)),""))</f>
        <v/>
      </c>
      <c r="H25" s="19">
        <f>IF(B25="","",G25*F25)</f>
        <v/>
      </c>
      <c r="I25" s="5" t="n"/>
    </row>
    <row r="26">
      <c r="A26" s="18" t="n"/>
      <c r="B26" s="5" t="n"/>
      <c r="C26" s="2">
        <f>IF(B26="","",IFERROR(INDEX(INVENTARIO!$B:$B,MATCH(B26,INVENTARIO!$A:$A,0)),"No encontrado"))</f>
        <v/>
      </c>
      <c r="D26" s="2">
        <f>IF(B26="","",IFERROR(INDEX(INVENTARIO!$C:$C,MATCH(B26,INVENTARIO!$A:$A,0)),""))</f>
        <v/>
      </c>
      <c r="E26" s="2">
        <f>IF(B26="","",IFERROR(INDEX(INVENTARIO!$D:$D,MATCH(B26,INVENTARIO!$A:$A,0)),""))</f>
        <v/>
      </c>
      <c r="F26" s="10" t="n"/>
      <c r="G26" s="9">
        <f>IF(B26="","",IFERROR(INDEX(INVENTARIO!$F:$F,MATCH(B26,INVENTARIO!$A:$A,0)),""))</f>
        <v/>
      </c>
      <c r="H26" s="19">
        <f>IF(B26="","",G26*F26)</f>
        <v/>
      </c>
      <c r="I26" s="5" t="n"/>
    </row>
    <row r="27">
      <c r="A27" s="18" t="n"/>
      <c r="B27" s="5" t="n"/>
      <c r="C27" s="2">
        <f>IF(B27="","",IFERROR(INDEX(INVENTARIO!$B:$B,MATCH(B27,INVENTARIO!$A:$A,0)),"No encontrado"))</f>
        <v/>
      </c>
      <c r="D27" s="2">
        <f>IF(B27="","",IFERROR(INDEX(INVENTARIO!$C:$C,MATCH(B27,INVENTARIO!$A:$A,0)),""))</f>
        <v/>
      </c>
      <c r="E27" s="2">
        <f>IF(B27="","",IFERROR(INDEX(INVENTARIO!$D:$D,MATCH(B27,INVENTARIO!$A:$A,0)),""))</f>
        <v/>
      </c>
      <c r="F27" s="10" t="n"/>
      <c r="G27" s="9">
        <f>IF(B27="","",IFERROR(INDEX(INVENTARIO!$F:$F,MATCH(B27,INVENTARIO!$A:$A,0)),""))</f>
        <v/>
      </c>
      <c r="H27" s="19">
        <f>IF(B27="","",G27*F27)</f>
        <v/>
      </c>
      <c r="I27" s="5" t="n"/>
    </row>
    <row r="28">
      <c r="A28" s="18" t="n"/>
      <c r="B28" s="5" t="n"/>
      <c r="C28" s="2">
        <f>IF(B28="","",IFERROR(INDEX(INVENTARIO!$B:$B,MATCH(B28,INVENTARIO!$A:$A,0)),"No encontrado"))</f>
        <v/>
      </c>
      <c r="D28" s="2">
        <f>IF(B28="","",IFERROR(INDEX(INVENTARIO!$C:$C,MATCH(B28,INVENTARIO!$A:$A,0)),""))</f>
        <v/>
      </c>
      <c r="E28" s="2">
        <f>IF(B28="","",IFERROR(INDEX(INVENTARIO!$D:$D,MATCH(B28,INVENTARIO!$A:$A,0)),""))</f>
        <v/>
      </c>
      <c r="F28" s="10" t="n"/>
      <c r="G28" s="9">
        <f>IF(B28="","",IFERROR(INDEX(INVENTARIO!$F:$F,MATCH(B28,INVENTARIO!$A:$A,0)),""))</f>
        <v/>
      </c>
      <c r="H28" s="19">
        <f>IF(B28="","",G28*F28)</f>
        <v/>
      </c>
      <c r="I28" s="5" t="n"/>
    </row>
    <row r="29">
      <c r="A29" s="18" t="n"/>
      <c r="B29" s="5" t="n"/>
      <c r="C29" s="2">
        <f>IF(B29="","",IFERROR(INDEX(INVENTARIO!$B:$B,MATCH(B29,INVENTARIO!$A:$A,0)),"No encontrado"))</f>
        <v/>
      </c>
      <c r="D29" s="2">
        <f>IF(B29="","",IFERROR(INDEX(INVENTARIO!$C:$C,MATCH(B29,INVENTARIO!$A:$A,0)),""))</f>
        <v/>
      </c>
      <c r="E29" s="2">
        <f>IF(B29="","",IFERROR(INDEX(INVENTARIO!$D:$D,MATCH(B29,INVENTARIO!$A:$A,0)),""))</f>
        <v/>
      </c>
      <c r="F29" s="10" t="n"/>
      <c r="G29" s="9">
        <f>IF(B29="","",IFERROR(INDEX(INVENTARIO!$F:$F,MATCH(B29,INVENTARIO!$A:$A,0)),""))</f>
        <v/>
      </c>
      <c r="H29" s="19">
        <f>IF(B29="","",G29*F29)</f>
        <v/>
      </c>
      <c r="I29" s="5" t="n"/>
    </row>
    <row r="30">
      <c r="A30" s="18" t="n"/>
      <c r="B30" s="5" t="n"/>
      <c r="C30" s="2">
        <f>IF(B30="","",IFERROR(INDEX(INVENTARIO!$B:$B,MATCH(B30,INVENTARIO!$A:$A,0)),"No encontrado"))</f>
        <v/>
      </c>
      <c r="D30" s="2">
        <f>IF(B30="","",IFERROR(INDEX(INVENTARIO!$C:$C,MATCH(B30,INVENTARIO!$A:$A,0)),""))</f>
        <v/>
      </c>
      <c r="E30" s="2">
        <f>IF(B30="","",IFERROR(INDEX(INVENTARIO!$D:$D,MATCH(B30,INVENTARIO!$A:$A,0)),""))</f>
        <v/>
      </c>
      <c r="F30" s="10" t="n"/>
      <c r="G30" s="9">
        <f>IF(B30="","",IFERROR(INDEX(INVENTARIO!$F:$F,MATCH(B30,INVENTARIO!$A:$A,0)),""))</f>
        <v/>
      </c>
      <c r="H30" s="19">
        <f>IF(B30="","",G30*F30)</f>
        <v/>
      </c>
      <c r="I30" s="5" t="n"/>
    </row>
    <row r="31">
      <c r="A31" s="18" t="n"/>
      <c r="B31" s="5" t="n"/>
      <c r="C31" s="2">
        <f>IF(B31="","",IFERROR(INDEX(INVENTARIO!$B:$B,MATCH(B31,INVENTARIO!$A:$A,0)),"No encontrado"))</f>
        <v/>
      </c>
      <c r="D31" s="2">
        <f>IF(B31="","",IFERROR(INDEX(INVENTARIO!$C:$C,MATCH(B31,INVENTARIO!$A:$A,0)),""))</f>
        <v/>
      </c>
      <c r="E31" s="2">
        <f>IF(B31="","",IFERROR(INDEX(INVENTARIO!$D:$D,MATCH(B31,INVENTARIO!$A:$A,0)),""))</f>
        <v/>
      </c>
      <c r="F31" s="10" t="n"/>
      <c r="G31" s="9">
        <f>IF(B31="","",IFERROR(INDEX(INVENTARIO!$F:$F,MATCH(B31,INVENTARIO!$A:$A,0)),""))</f>
        <v/>
      </c>
      <c r="H31" s="19">
        <f>IF(B31="","",G31*F31)</f>
        <v/>
      </c>
      <c r="I31" s="5" t="n"/>
    </row>
    <row r="32">
      <c r="A32" s="18" t="n"/>
      <c r="B32" s="5" t="n"/>
      <c r="C32" s="2">
        <f>IF(B32="","",IFERROR(INDEX(INVENTARIO!$B:$B,MATCH(B32,INVENTARIO!$A:$A,0)),"No encontrado"))</f>
        <v/>
      </c>
      <c r="D32" s="2">
        <f>IF(B32="","",IFERROR(INDEX(INVENTARIO!$C:$C,MATCH(B32,INVENTARIO!$A:$A,0)),""))</f>
        <v/>
      </c>
      <c r="E32" s="2">
        <f>IF(B32="","",IFERROR(INDEX(INVENTARIO!$D:$D,MATCH(B32,INVENTARIO!$A:$A,0)),""))</f>
        <v/>
      </c>
      <c r="F32" s="10" t="n"/>
      <c r="G32" s="9">
        <f>IF(B32="","",IFERROR(INDEX(INVENTARIO!$F:$F,MATCH(B32,INVENTARIO!$A:$A,0)),""))</f>
        <v/>
      </c>
      <c r="H32" s="19">
        <f>IF(B32="","",G32*F32)</f>
        <v/>
      </c>
      <c r="I32" s="5" t="n"/>
    </row>
    <row r="33">
      <c r="A33" s="18" t="n"/>
      <c r="B33" s="5" t="n"/>
      <c r="C33" s="2">
        <f>IF(B33="","",IFERROR(INDEX(INVENTARIO!$B:$B,MATCH(B33,INVENTARIO!$A:$A,0)),"No encontrado"))</f>
        <v/>
      </c>
      <c r="D33" s="2">
        <f>IF(B33="","",IFERROR(INDEX(INVENTARIO!$C:$C,MATCH(B33,INVENTARIO!$A:$A,0)),""))</f>
        <v/>
      </c>
      <c r="E33" s="2">
        <f>IF(B33="","",IFERROR(INDEX(INVENTARIO!$D:$D,MATCH(B33,INVENTARIO!$A:$A,0)),""))</f>
        <v/>
      </c>
      <c r="F33" s="10" t="n"/>
      <c r="G33" s="9">
        <f>IF(B33="","",IFERROR(INDEX(INVENTARIO!$F:$F,MATCH(B33,INVENTARIO!$A:$A,0)),""))</f>
        <v/>
      </c>
      <c r="H33" s="19">
        <f>IF(B33="","",G33*F33)</f>
        <v/>
      </c>
      <c r="I33" s="5" t="n"/>
    </row>
    <row r="34">
      <c r="A34" s="18" t="n"/>
      <c r="B34" s="5" t="n"/>
      <c r="C34" s="2">
        <f>IF(B34="","",IFERROR(INDEX(INVENTARIO!$B:$B,MATCH(B34,INVENTARIO!$A:$A,0)),"No encontrado"))</f>
        <v/>
      </c>
      <c r="D34" s="2">
        <f>IF(B34="","",IFERROR(INDEX(INVENTARIO!$C:$C,MATCH(B34,INVENTARIO!$A:$A,0)),""))</f>
        <v/>
      </c>
      <c r="E34" s="2">
        <f>IF(B34="","",IFERROR(INDEX(INVENTARIO!$D:$D,MATCH(B34,INVENTARIO!$A:$A,0)),""))</f>
        <v/>
      </c>
      <c r="F34" s="10" t="n"/>
      <c r="G34" s="9">
        <f>IF(B34="","",IFERROR(INDEX(INVENTARIO!$F:$F,MATCH(B34,INVENTARIO!$A:$A,0)),""))</f>
        <v/>
      </c>
      <c r="H34" s="19">
        <f>IF(B34="","",G34*F34)</f>
        <v/>
      </c>
      <c r="I34" s="5" t="n"/>
    </row>
    <row r="35">
      <c r="A35" s="18" t="n"/>
      <c r="B35" s="5" t="n"/>
      <c r="C35" s="2">
        <f>IF(B35="","",IFERROR(INDEX(INVENTARIO!$B:$B,MATCH(B35,INVENTARIO!$A:$A,0)),"No encontrado"))</f>
        <v/>
      </c>
      <c r="D35" s="2">
        <f>IF(B35="","",IFERROR(INDEX(INVENTARIO!$C:$C,MATCH(B35,INVENTARIO!$A:$A,0)),""))</f>
        <v/>
      </c>
      <c r="E35" s="2">
        <f>IF(B35="","",IFERROR(INDEX(INVENTARIO!$D:$D,MATCH(B35,INVENTARIO!$A:$A,0)),""))</f>
        <v/>
      </c>
      <c r="F35" s="10" t="n"/>
      <c r="G35" s="9">
        <f>IF(B35="","",IFERROR(INDEX(INVENTARIO!$F:$F,MATCH(B35,INVENTARIO!$A:$A,0)),""))</f>
        <v/>
      </c>
      <c r="H35" s="19">
        <f>IF(B35="","",G35*F35)</f>
        <v/>
      </c>
      <c r="I35" s="5" t="n"/>
    </row>
    <row r="36">
      <c r="A36" s="18" t="n"/>
      <c r="B36" s="5" t="n"/>
      <c r="C36" s="2">
        <f>IF(B36="","",IFERROR(INDEX(INVENTARIO!$B:$B,MATCH(B36,INVENTARIO!$A:$A,0)),"No encontrado"))</f>
        <v/>
      </c>
      <c r="D36" s="2">
        <f>IF(B36="","",IFERROR(INDEX(INVENTARIO!$C:$C,MATCH(B36,INVENTARIO!$A:$A,0)),""))</f>
        <v/>
      </c>
      <c r="E36" s="2">
        <f>IF(B36="","",IFERROR(INDEX(INVENTARIO!$D:$D,MATCH(B36,INVENTARIO!$A:$A,0)),""))</f>
        <v/>
      </c>
      <c r="F36" s="10" t="n"/>
      <c r="G36" s="9">
        <f>IF(B36="","",IFERROR(INDEX(INVENTARIO!$F:$F,MATCH(B36,INVENTARIO!$A:$A,0)),""))</f>
        <v/>
      </c>
      <c r="H36" s="19">
        <f>IF(B36="","",G36*F36)</f>
        <v/>
      </c>
      <c r="I36" s="5" t="n"/>
    </row>
    <row r="37">
      <c r="A37" s="18" t="n"/>
      <c r="B37" s="5" t="n"/>
      <c r="C37" s="2">
        <f>IF(B37="","",IFERROR(INDEX(INVENTARIO!$B:$B,MATCH(B37,INVENTARIO!$A:$A,0)),"No encontrado"))</f>
        <v/>
      </c>
      <c r="D37" s="2">
        <f>IF(B37="","",IFERROR(INDEX(INVENTARIO!$C:$C,MATCH(B37,INVENTARIO!$A:$A,0)),""))</f>
        <v/>
      </c>
      <c r="E37" s="2">
        <f>IF(B37="","",IFERROR(INDEX(INVENTARIO!$D:$D,MATCH(B37,INVENTARIO!$A:$A,0)),""))</f>
        <v/>
      </c>
      <c r="F37" s="10" t="n"/>
      <c r="G37" s="9">
        <f>IF(B37="","",IFERROR(INDEX(INVENTARIO!$F:$F,MATCH(B37,INVENTARIO!$A:$A,0)),""))</f>
        <v/>
      </c>
      <c r="H37" s="19">
        <f>IF(B37="","",G37*F37)</f>
        <v/>
      </c>
      <c r="I37" s="5" t="n"/>
    </row>
    <row r="38">
      <c r="A38" s="18" t="n"/>
      <c r="B38" s="5" t="n"/>
      <c r="C38" s="2">
        <f>IF(B38="","",IFERROR(INDEX(INVENTARIO!$B:$B,MATCH(B38,INVENTARIO!$A:$A,0)),"No encontrado"))</f>
        <v/>
      </c>
      <c r="D38" s="2">
        <f>IF(B38="","",IFERROR(INDEX(INVENTARIO!$C:$C,MATCH(B38,INVENTARIO!$A:$A,0)),""))</f>
        <v/>
      </c>
      <c r="E38" s="2">
        <f>IF(B38="","",IFERROR(INDEX(INVENTARIO!$D:$D,MATCH(B38,INVENTARIO!$A:$A,0)),""))</f>
        <v/>
      </c>
      <c r="F38" s="10" t="n"/>
      <c r="G38" s="9">
        <f>IF(B38="","",IFERROR(INDEX(INVENTARIO!$F:$F,MATCH(B38,INVENTARIO!$A:$A,0)),""))</f>
        <v/>
      </c>
      <c r="H38" s="19">
        <f>IF(B38="","",G38*F38)</f>
        <v/>
      </c>
      <c r="I38" s="5" t="n"/>
    </row>
    <row r="39">
      <c r="A39" s="18" t="n"/>
      <c r="B39" s="5" t="n"/>
      <c r="C39" s="2">
        <f>IF(B39="","",IFERROR(INDEX(INVENTARIO!$B:$B,MATCH(B39,INVENTARIO!$A:$A,0)),"No encontrado"))</f>
        <v/>
      </c>
      <c r="D39" s="2">
        <f>IF(B39="","",IFERROR(INDEX(INVENTARIO!$C:$C,MATCH(B39,INVENTARIO!$A:$A,0)),""))</f>
        <v/>
      </c>
      <c r="E39" s="2">
        <f>IF(B39="","",IFERROR(INDEX(INVENTARIO!$D:$D,MATCH(B39,INVENTARIO!$A:$A,0)),""))</f>
        <v/>
      </c>
      <c r="F39" s="10" t="n"/>
      <c r="G39" s="9">
        <f>IF(B39="","",IFERROR(INDEX(INVENTARIO!$F:$F,MATCH(B39,INVENTARIO!$A:$A,0)),""))</f>
        <v/>
      </c>
      <c r="H39" s="19">
        <f>IF(B39="","",G39*F39)</f>
        <v/>
      </c>
      <c r="I39" s="5" t="n"/>
    </row>
    <row r="40">
      <c r="A40" s="18" t="n"/>
      <c r="B40" s="5" t="n"/>
      <c r="C40" s="2">
        <f>IF(B40="","",IFERROR(INDEX(INVENTARIO!$B:$B,MATCH(B40,INVENTARIO!$A:$A,0)),"No encontrado"))</f>
        <v/>
      </c>
      <c r="D40" s="2">
        <f>IF(B40="","",IFERROR(INDEX(INVENTARIO!$C:$C,MATCH(B40,INVENTARIO!$A:$A,0)),""))</f>
        <v/>
      </c>
      <c r="E40" s="2">
        <f>IF(B40="","",IFERROR(INDEX(INVENTARIO!$D:$D,MATCH(B40,INVENTARIO!$A:$A,0)),""))</f>
        <v/>
      </c>
      <c r="F40" s="10" t="n"/>
      <c r="G40" s="9">
        <f>IF(B40="","",IFERROR(INDEX(INVENTARIO!$F:$F,MATCH(B40,INVENTARIO!$A:$A,0)),""))</f>
        <v/>
      </c>
      <c r="H40" s="19">
        <f>IF(B40="","",G40*F40)</f>
        <v/>
      </c>
      <c r="I40" s="5" t="n"/>
    </row>
    <row r="41">
      <c r="A41" s="18" t="n"/>
      <c r="B41" s="5" t="n"/>
      <c r="C41" s="2">
        <f>IF(B41="","",IFERROR(INDEX(INVENTARIO!$B:$B,MATCH(B41,INVENTARIO!$A:$A,0)),"No encontrado"))</f>
        <v/>
      </c>
      <c r="D41" s="2">
        <f>IF(B41="","",IFERROR(INDEX(INVENTARIO!$C:$C,MATCH(B41,INVENTARIO!$A:$A,0)),""))</f>
        <v/>
      </c>
      <c r="E41" s="2">
        <f>IF(B41="","",IFERROR(INDEX(INVENTARIO!$D:$D,MATCH(B41,INVENTARIO!$A:$A,0)),""))</f>
        <v/>
      </c>
      <c r="F41" s="10" t="n"/>
      <c r="G41" s="9">
        <f>IF(B41="","",IFERROR(INDEX(INVENTARIO!$F:$F,MATCH(B41,INVENTARIO!$A:$A,0)),""))</f>
        <v/>
      </c>
      <c r="H41" s="19">
        <f>IF(B41="","",G41*F41)</f>
        <v/>
      </c>
      <c r="I41" s="5" t="n"/>
    </row>
    <row r="42">
      <c r="A42" s="18" t="n"/>
      <c r="B42" s="5" t="n"/>
      <c r="C42" s="2">
        <f>IF(B42="","",IFERROR(INDEX(INVENTARIO!$B:$B,MATCH(B42,INVENTARIO!$A:$A,0)),"No encontrado"))</f>
        <v/>
      </c>
      <c r="D42" s="2">
        <f>IF(B42="","",IFERROR(INDEX(INVENTARIO!$C:$C,MATCH(B42,INVENTARIO!$A:$A,0)),""))</f>
        <v/>
      </c>
      <c r="E42" s="2">
        <f>IF(B42="","",IFERROR(INDEX(INVENTARIO!$D:$D,MATCH(B42,INVENTARIO!$A:$A,0)),""))</f>
        <v/>
      </c>
      <c r="F42" s="10" t="n"/>
      <c r="G42" s="9">
        <f>IF(B42="","",IFERROR(INDEX(INVENTARIO!$F:$F,MATCH(B42,INVENTARIO!$A:$A,0)),""))</f>
        <v/>
      </c>
      <c r="H42" s="19">
        <f>IF(B42="","",G42*F42)</f>
        <v/>
      </c>
      <c r="I42" s="5" t="n"/>
    </row>
    <row r="43">
      <c r="A43" s="18" t="n"/>
      <c r="B43" s="5" t="n"/>
      <c r="C43" s="2">
        <f>IF(B43="","",IFERROR(INDEX(INVENTARIO!$B:$B,MATCH(B43,INVENTARIO!$A:$A,0)),"No encontrado"))</f>
        <v/>
      </c>
      <c r="D43" s="2">
        <f>IF(B43="","",IFERROR(INDEX(INVENTARIO!$C:$C,MATCH(B43,INVENTARIO!$A:$A,0)),""))</f>
        <v/>
      </c>
      <c r="E43" s="2">
        <f>IF(B43="","",IFERROR(INDEX(INVENTARIO!$D:$D,MATCH(B43,INVENTARIO!$A:$A,0)),""))</f>
        <v/>
      </c>
      <c r="F43" s="10" t="n"/>
      <c r="G43" s="9">
        <f>IF(B43="","",IFERROR(INDEX(INVENTARIO!$F:$F,MATCH(B43,INVENTARIO!$A:$A,0)),""))</f>
        <v/>
      </c>
      <c r="H43" s="19">
        <f>IF(B43="","",G43*F43)</f>
        <v/>
      </c>
      <c r="I43" s="5" t="n"/>
    </row>
    <row r="44">
      <c r="A44" s="18" t="n"/>
      <c r="B44" s="5" t="n"/>
      <c r="C44" s="2">
        <f>IF(B44="","",IFERROR(INDEX(INVENTARIO!$B:$B,MATCH(B44,INVENTARIO!$A:$A,0)),"No encontrado"))</f>
        <v/>
      </c>
      <c r="D44" s="2">
        <f>IF(B44="","",IFERROR(INDEX(INVENTARIO!$C:$C,MATCH(B44,INVENTARIO!$A:$A,0)),""))</f>
        <v/>
      </c>
      <c r="E44" s="2">
        <f>IF(B44="","",IFERROR(INDEX(INVENTARIO!$D:$D,MATCH(B44,INVENTARIO!$A:$A,0)),""))</f>
        <v/>
      </c>
      <c r="F44" s="10" t="n"/>
      <c r="G44" s="9">
        <f>IF(B44="","",IFERROR(INDEX(INVENTARIO!$F:$F,MATCH(B44,INVENTARIO!$A:$A,0)),""))</f>
        <v/>
      </c>
      <c r="H44" s="19">
        <f>IF(B44="","",G44*F44)</f>
        <v/>
      </c>
      <c r="I44" s="5" t="n"/>
    </row>
    <row r="45">
      <c r="A45" s="18" t="n"/>
      <c r="B45" s="5" t="n"/>
      <c r="C45" s="2">
        <f>IF(B45="","",IFERROR(INDEX(INVENTARIO!$B:$B,MATCH(B45,INVENTARIO!$A:$A,0)),"No encontrado"))</f>
        <v/>
      </c>
      <c r="D45" s="2">
        <f>IF(B45="","",IFERROR(INDEX(INVENTARIO!$C:$C,MATCH(B45,INVENTARIO!$A:$A,0)),""))</f>
        <v/>
      </c>
      <c r="E45" s="2">
        <f>IF(B45="","",IFERROR(INDEX(INVENTARIO!$D:$D,MATCH(B45,INVENTARIO!$A:$A,0)),""))</f>
        <v/>
      </c>
      <c r="F45" s="10" t="n"/>
      <c r="G45" s="9">
        <f>IF(B45="","",IFERROR(INDEX(INVENTARIO!$F:$F,MATCH(B45,INVENTARIO!$A:$A,0)),""))</f>
        <v/>
      </c>
      <c r="H45" s="19">
        <f>IF(B45="","",G45*F45)</f>
        <v/>
      </c>
      <c r="I45" s="5" t="n"/>
    </row>
    <row r="46">
      <c r="A46" s="18" t="n"/>
      <c r="B46" s="5" t="n"/>
      <c r="C46" s="2">
        <f>IF(B46="","",IFERROR(INDEX(INVENTARIO!$B:$B,MATCH(B46,INVENTARIO!$A:$A,0)),"No encontrado"))</f>
        <v/>
      </c>
      <c r="D46" s="2">
        <f>IF(B46="","",IFERROR(INDEX(INVENTARIO!$C:$C,MATCH(B46,INVENTARIO!$A:$A,0)),""))</f>
        <v/>
      </c>
      <c r="E46" s="2">
        <f>IF(B46="","",IFERROR(INDEX(INVENTARIO!$D:$D,MATCH(B46,INVENTARIO!$A:$A,0)),""))</f>
        <v/>
      </c>
      <c r="F46" s="10" t="n"/>
      <c r="G46" s="9">
        <f>IF(B46="","",IFERROR(INDEX(INVENTARIO!$F:$F,MATCH(B46,INVENTARIO!$A:$A,0)),""))</f>
        <v/>
      </c>
      <c r="H46" s="19">
        <f>IF(B46="","",G46*F46)</f>
        <v/>
      </c>
      <c r="I46" s="5" t="n"/>
    </row>
    <row r="47">
      <c r="A47" s="18" t="n"/>
      <c r="B47" s="5" t="n"/>
      <c r="C47" s="2">
        <f>IF(B47="","",IFERROR(INDEX(INVENTARIO!$B:$B,MATCH(B47,INVENTARIO!$A:$A,0)),"No encontrado"))</f>
        <v/>
      </c>
      <c r="D47" s="2">
        <f>IF(B47="","",IFERROR(INDEX(INVENTARIO!$C:$C,MATCH(B47,INVENTARIO!$A:$A,0)),""))</f>
        <v/>
      </c>
      <c r="E47" s="2">
        <f>IF(B47="","",IFERROR(INDEX(INVENTARIO!$D:$D,MATCH(B47,INVENTARIO!$A:$A,0)),""))</f>
        <v/>
      </c>
      <c r="F47" s="10" t="n"/>
      <c r="G47" s="9">
        <f>IF(B47="","",IFERROR(INDEX(INVENTARIO!$F:$F,MATCH(B47,INVENTARIO!$A:$A,0)),""))</f>
        <v/>
      </c>
      <c r="H47" s="19">
        <f>IF(B47="","",G47*F47)</f>
        <v/>
      </c>
      <c r="I47" s="5" t="n"/>
    </row>
    <row r="48">
      <c r="A48" s="18" t="n"/>
      <c r="B48" s="5" t="n"/>
      <c r="C48" s="2">
        <f>IF(B48="","",IFERROR(INDEX(INVENTARIO!$B:$B,MATCH(B48,INVENTARIO!$A:$A,0)),"No encontrado"))</f>
        <v/>
      </c>
      <c r="D48" s="2">
        <f>IF(B48="","",IFERROR(INDEX(INVENTARIO!$C:$C,MATCH(B48,INVENTARIO!$A:$A,0)),""))</f>
        <v/>
      </c>
      <c r="E48" s="2">
        <f>IF(B48="","",IFERROR(INDEX(INVENTARIO!$D:$D,MATCH(B48,INVENTARIO!$A:$A,0)),""))</f>
        <v/>
      </c>
      <c r="F48" s="10" t="n"/>
      <c r="G48" s="9">
        <f>IF(B48="","",IFERROR(INDEX(INVENTARIO!$F:$F,MATCH(B48,INVENTARIO!$A:$A,0)),""))</f>
        <v/>
      </c>
      <c r="H48" s="19">
        <f>IF(B48="","",G48*F48)</f>
        <v/>
      </c>
      <c r="I48" s="5" t="n"/>
    </row>
    <row r="49">
      <c r="A49" s="18" t="n"/>
      <c r="B49" s="5" t="n"/>
      <c r="C49" s="2">
        <f>IF(B49="","",IFERROR(INDEX(INVENTARIO!$B:$B,MATCH(B49,INVENTARIO!$A:$A,0)),"No encontrado"))</f>
        <v/>
      </c>
      <c r="D49" s="2">
        <f>IF(B49="","",IFERROR(INDEX(INVENTARIO!$C:$C,MATCH(B49,INVENTARIO!$A:$A,0)),""))</f>
        <v/>
      </c>
      <c r="E49" s="2">
        <f>IF(B49="","",IFERROR(INDEX(INVENTARIO!$D:$D,MATCH(B49,INVENTARIO!$A:$A,0)),""))</f>
        <v/>
      </c>
      <c r="F49" s="10" t="n"/>
      <c r="G49" s="9">
        <f>IF(B49="","",IFERROR(INDEX(INVENTARIO!$F:$F,MATCH(B49,INVENTARIO!$A:$A,0)),""))</f>
        <v/>
      </c>
      <c r="H49" s="19">
        <f>IF(B49="","",G49*F49)</f>
        <v/>
      </c>
      <c r="I49" s="5" t="n"/>
    </row>
    <row r="50">
      <c r="A50" s="18" t="n"/>
      <c r="B50" s="5" t="n"/>
      <c r="C50" s="2">
        <f>IF(B50="","",IFERROR(INDEX(INVENTARIO!$B:$B,MATCH(B50,INVENTARIO!$A:$A,0)),"No encontrado"))</f>
        <v/>
      </c>
      <c r="D50" s="2">
        <f>IF(B50="","",IFERROR(INDEX(INVENTARIO!$C:$C,MATCH(B50,INVENTARIO!$A:$A,0)),""))</f>
        <v/>
      </c>
      <c r="E50" s="2">
        <f>IF(B50="","",IFERROR(INDEX(INVENTARIO!$D:$D,MATCH(B50,INVENTARIO!$A:$A,0)),""))</f>
        <v/>
      </c>
      <c r="F50" s="10" t="n"/>
      <c r="G50" s="9">
        <f>IF(B50="","",IFERROR(INDEX(INVENTARIO!$F:$F,MATCH(B50,INVENTARIO!$A:$A,0)),""))</f>
        <v/>
      </c>
      <c r="H50" s="19">
        <f>IF(B50="","",G50*F50)</f>
        <v/>
      </c>
      <c r="I50" s="5" t="n"/>
    </row>
    <row r="51">
      <c r="A51" s="18" t="n"/>
      <c r="B51" s="5" t="n"/>
      <c r="C51" s="2">
        <f>IF(B51="","",IFERROR(INDEX(INVENTARIO!$B:$B,MATCH(B51,INVENTARIO!$A:$A,0)),"No encontrado"))</f>
        <v/>
      </c>
      <c r="D51" s="2">
        <f>IF(B51="","",IFERROR(INDEX(INVENTARIO!$C:$C,MATCH(B51,INVENTARIO!$A:$A,0)),""))</f>
        <v/>
      </c>
      <c r="E51" s="2">
        <f>IF(B51="","",IFERROR(INDEX(INVENTARIO!$D:$D,MATCH(B51,INVENTARIO!$A:$A,0)),""))</f>
        <v/>
      </c>
      <c r="F51" s="10" t="n"/>
      <c r="G51" s="9">
        <f>IF(B51="","",IFERROR(INDEX(INVENTARIO!$F:$F,MATCH(B51,INVENTARIO!$A:$A,0)),""))</f>
        <v/>
      </c>
      <c r="H51" s="19">
        <f>IF(B51="","",G51*F51)</f>
        <v/>
      </c>
      <c r="I51" s="5" t="n"/>
    </row>
    <row r="52">
      <c r="A52" s="18" t="n"/>
      <c r="B52" s="5" t="n"/>
      <c r="C52" s="2">
        <f>IF(B52="","",IFERROR(INDEX(INVENTARIO!$B:$B,MATCH(B52,INVENTARIO!$A:$A,0)),"No encontrado"))</f>
        <v/>
      </c>
      <c r="D52" s="2">
        <f>IF(B52="","",IFERROR(INDEX(INVENTARIO!$C:$C,MATCH(B52,INVENTARIO!$A:$A,0)),""))</f>
        <v/>
      </c>
      <c r="E52" s="2">
        <f>IF(B52="","",IFERROR(INDEX(INVENTARIO!$D:$D,MATCH(B52,INVENTARIO!$A:$A,0)),""))</f>
        <v/>
      </c>
      <c r="F52" s="10" t="n"/>
      <c r="G52" s="9">
        <f>IF(B52="","",IFERROR(INDEX(INVENTARIO!$F:$F,MATCH(B52,INVENTARIO!$A:$A,0)),""))</f>
        <v/>
      </c>
      <c r="H52" s="19">
        <f>IF(B52="","",G52*F52)</f>
        <v/>
      </c>
      <c r="I52" s="5" t="n"/>
    </row>
    <row r="53">
      <c r="A53" s="18" t="n"/>
      <c r="B53" s="5" t="n"/>
      <c r="C53" s="2">
        <f>IF(B53="","",IFERROR(INDEX(INVENTARIO!$B:$B,MATCH(B53,INVENTARIO!$A:$A,0)),"No encontrado"))</f>
        <v/>
      </c>
      <c r="D53" s="2">
        <f>IF(B53="","",IFERROR(INDEX(INVENTARIO!$C:$C,MATCH(B53,INVENTARIO!$A:$A,0)),""))</f>
        <v/>
      </c>
      <c r="E53" s="2">
        <f>IF(B53="","",IFERROR(INDEX(INVENTARIO!$D:$D,MATCH(B53,INVENTARIO!$A:$A,0)),""))</f>
        <v/>
      </c>
      <c r="F53" s="10" t="n"/>
      <c r="G53" s="9">
        <f>IF(B53="","",IFERROR(INDEX(INVENTARIO!$F:$F,MATCH(B53,INVENTARIO!$A:$A,0)),""))</f>
        <v/>
      </c>
      <c r="H53" s="19">
        <f>IF(B53="","",G53*F53)</f>
        <v/>
      </c>
      <c r="I53" s="5" t="n"/>
    </row>
    <row r="54">
      <c r="A54" s="18" t="n"/>
      <c r="B54" s="5" t="n"/>
      <c r="C54" s="2">
        <f>IF(B54="","",IFERROR(INDEX(INVENTARIO!$B:$B,MATCH(B54,INVENTARIO!$A:$A,0)),"No encontrado"))</f>
        <v/>
      </c>
      <c r="D54" s="2">
        <f>IF(B54="","",IFERROR(INDEX(INVENTARIO!$C:$C,MATCH(B54,INVENTARIO!$A:$A,0)),""))</f>
        <v/>
      </c>
      <c r="E54" s="2">
        <f>IF(B54="","",IFERROR(INDEX(INVENTARIO!$D:$D,MATCH(B54,INVENTARIO!$A:$A,0)),""))</f>
        <v/>
      </c>
      <c r="F54" s="10" t="n"/>
      <c r="G54" s="9">
        <f>IF(B54="","",IFERROR(INDEX(INVENTARIO!$F:$F,MATCH(B54,INVENTARIO!$A:$A,0)),""))</f>
        <v/>
      </c>
      <c r="H54" s="19">
        <f>IF(B54="","",G54*F54)</f>
        <v/>
      </c>
      <c r="I54" s="5" t="n"/>
    </row>
    <row r="55">
      <c r="A55" s="18" t="n"/>
      <c r="B55" s="5" t="n"/>
      <c r="C55" s="2">
        <f>IF(B55="","",IFERROR(INDEX(INVENTARIO!$B:$B,MATCH(B55,INVENTARIO!$A:$A,0)),"No encontrado"))</f>
        <v/>
      </c>
      <c r="D55" s="2">
        <f>IF(B55="","",IFERROR(INDEX(INVENTARIO!$C:$C,MATCH(B55,INVENTARIO!$A:$A,0)),""))</f>
        <v/>
      </c>
      <c r="E55" s="2">
        <f>IF(B55="","",IFERROR(INDEX(INVENTARIO!$D:$D,MATCH(B55,INVENTARIO!$A:$A,0)),""))</f>
        <v/>
      </c>
      <c r="F55" s="10" t="n"/>
      <c r="G55" s="9">
        <f>IF(B55="","",IFERROR(INDEX(INVENTARIO!$F:$F,MATCH(B55,INVENTARIO!$A:$A,0)),""))</f>
        <v/>
      </c>
      <c r="H55" s="19">
        <f>IF(B55="","",G55*F55)</f>
        <v/>
      </c>
      <c r="I55" s="5" t="n"/>
    </row>
    <row r="56">
      <c r="A56" s="18" t="n"/>
      <c r="B56" s="5" t="n"/>
      <c r="C56" s="2">
        <f>IF(B56="","",IFERROR(INDEX(INVENTARIO!$B:$B,MATCH(B56,INVENTARIO!$A:$A,0)),"No encontrado"))</f>
        <v/>
      </c>
      <c r="D56" s="2">
        <f>IF(B56="","",IFERROR(INDEX(INVENTARIO!$C:$C,MATCH(B56,INVENTARIO!$A:$A,0)),""))</f>
        <v/>
      </c>
      <c r="E56" s="2">
        <f>IF(B56="","",IFERROR(INDEX(INVENTARIO!$D:$D,MATCH(B56,INVENTARIO!$A:$A,0)),""))</f>
        <v/>
      </c>
      <c r="F56" s="10" t="n"/>
      <c r="G56" s="9">
        <f>IF(B56="","",IFERROR(INDEX(INVENTARIO!$F:$F,MATCH(B56,INVENTARIO!$A:$A,0)),""))</f>
        <v/>
      </c>
      <c r="H56" s="19">
        <f>IF(B56="","",G56*F56)</f>
        <v/>
      </c>
      <c r="I56" s="5" t="n"/>
    </row>
    <row r="57">
      <c r="A57" s="18" t="n"/>
      <c r="B57" s="5" t="n"/>
      <c r="C57" s="2">
        <f>IF(B57="","",IFERROR(INDEX(INVENTARIO!$B:$B,MATCH(B57,INVENTARIO!$A:$A,0)),"No encontrado"))</f>
        <v/>
      </c>
      <c r="D57" s="2">
        <f>IF(B57="","",IFERROR(INDEX(INVENTARIO!$C:$C,MATCH(B57,INVENTARIO!$A:$A,0)),""))</f>
        <v/>
      </c>
      <c r="E57" s="2">
        <f>IF(B57="","",IFERROR(INDEX(INVENTARIO!$D:$D,MATCH(B57,INVENTARIO!$A:$A,0)),""))</f>
        <v/>
      </c>
      <c r="F57" s="10" t="n"/>
      <c r="G57" s="9">
        <f>IF(B57="","",IFERROR(INDEX(INVENTARIO!$F:$F,MATCH(B57,INVENTARIO!$A:$A,0)),""))</f>
        <v/>
      </c>
      <c r="H57" s="19">
        <f>IF(B57="","",G57*F57)</f>
        <v/>
      </c>
      <c r="I57" s="5" t="n"/>
    </row>
    <row r="58">
      <c r="A58" s="18" t="n"/>
      <c r="B58" s="5" t="n"/>
      <c r="C58" s="2">
        <f>IF(B58="","",IFERROR(INDEX(INVENTARIO!$B:$B,MATCH(B58,INVENTARIO!$A:$A,0)),"No encontrado"))</f>
        <v/>
      </c>
      <c r="D58" s="2">
        <f>IF(B58="","",IFERROR(INDEX(INVENTARIO!$C:$C,MATCH(B58,INVENTARIO!$A:$A,0)),""))</f>
        <v/>
      </c>
      <c r="E58" s="2">
        <f>IF(B58="","",IFERROR(INDEX(INVENTARIO!$D:$D,MATCH(B58,INVENTARIO!$A:$A,0)),""))</f>
        <v/>
      </c>
      <c r="F58" s="10" t="n"/>
      <c r="G58" s="9">
        <f>IF(B58="","",IFERROR(INDEX(INVENTARIO!$F:$F,MATCH(B58,INVENTARIO!$A:$A,0)),""))</f>
        <v/>
      </c>
      <c r="H58" s="19">
        <f>IF(B58="","",G58*F58)</f>
        <v/>
      </c>
      <c r="I58" s="5" t="n"/>
    </row>
    <row r="59">
      <c r="A59" s="18" t="n"/>
      <c r="B59" s="5" t="n"/>
      <c r="C59" s="2">
        <f>IF(B59="","",IFERROR(INDEX(INVENTARIO!$B:$B,MATCH(B59,INVENTARIO!$A:$A,0)),"No encontrado"))</f>
        <v/>
      </c>
      <c r="D59" s="2">
        <f>IF(B59="","",IFERROR(INDEX(INVENTARIO!$C:$C,MATCH(B59,INVENTARIO!$A:$A,0)),""))</f>
        <v/>
      </c>
      <c r="E59" s="2">
        <f>IF(B59="","",IFERROR(INDEX(INVENTARIO!$D:$D,MATCH(B59,INVENTARIO!$A:$A,0)),""))</f>
        <v/>
      </c>
      <c r="F59" s="10" t="n"/>
      <c r="G59" s="9">
        <f>IF(B59="","",IFERROR(INDEX(INVENTARIO!$F:$F,MATCH(B59,INVENTARIO!$A:$A,0)),""))</f>
        <v/>
      </c>
      <c r="H59" s="19">
        <f>IF(B59="","",G59*F59)</f>
        <v/>
      </c>
      <c r="I59" s="5" t="n"/>
    </row>
    <row r="60">
      <c r="A60" s="18" t="n"/>
      <c r="B60" s="5" t="n"/>
      <c r="C60" s="2">
        <f>IF(B60="","",IFERROR(INDEX(INVENTARIO!$B:$B,MATCH(B60,INVENTARIO!$A:$A,0)),"No encontrado"))</f>
        <v/>
      </c>
      <c r="D60" s="2">
        <f>IF(B60="","",IFERROR(INDEX(INVENTARIO!$C:$C,MATCH(B60,INVENTARIO!$A:$A,0)),""))</f>
        <v/>
      </c>
      <c r="E60" s="2">
        <f>IF(B60="","",IFERROR(INDEX(INVENTARIO!$D:$D,MATCH(B60,INVENTARIO!$A:$A,0)),""))</f>
        <v/>
      </c>
      <c r="F60" s="10" t="n"/>
      <c r="G60" s="9">
        <f>IF(B60="","",IFERROR(INDEX(INVENTARIO!$F:$F,MATCH(B60,INVENTARIO!$A:$A,0)),""))</f>
        <v/>
      </c>
      <c r="H60" s="19">
        <f>IF(B60="","",G60*F60)</f>
        <v/>
      </c>
      <c r="I60" s="5" t="n"/>
    </row>
    <row r="61">
      <c r="A61" s="18" t="n"/>
      <c r="B61" s="5" t="n"/>
      <c r="C61" s="2">
        <f>IF(B61="","",IFERROR(INDEX(INVENTARIO!$B:$B,MATCH(B61,INVENTARIO!$A:$A,0)),"No encontrado"))</f>
        <v/>
      </c>
      <c r="D61" s="2">
        <f>IF(B61="","",IFERROR(INDEX(INVENTARIO!$C:$C,MATCH(B61,INVENTARIO!$A:$A,0)),""))</f>
        <v/>
      </c>
      <c r="E61" s="2">
        <f>IF(B61="","",IFERROR(INDEX(INVENTARIO!$D:$D,MATCH(B61,INVENTARIO!$A:$A,0)),""))</f>
        <v/>
      </c>
      <c r="F61" s="10" t="n"/>
      <c r="G61" s="9">
        <f>IF(B61="","",IFERROR(INDEX(INVENTARIO!$F:$F,MATCH(B61,INVENTARIO!$A:$A,0)),""))</f>
        <v/>
      </c>
      <c r="H61" s="19">
        <f>IF(B61="","",G61*F61)</f>
        <v/>
      </c>
      <c r="I61" s="5" t="n"/>
    </row>
    <row r="62">
      <c r="A62" s="18" t="n"/>
      <c r="B62" s="5" t="n"/>
      <c r="C62" s="2">
        <f>IF(B62="","",IFERROR(INDEX(INVENTARIO!$B:$B,MATCH(B62,INVENTARIO!$A:$A,0)),"No encontrado"))</f>
        <v/>
      </c>
      <c r="D62" s="2">
        <f>IF(B62="","",IFERROR(INDEX(INVENTARIO!$C:$C,MATCH(B62,INVENTARIO!$A:$A,0)),""))</f>
        <v/>
      </c>
      <c r="E62" s="2">
        <f>IF(B62="","",IFERROR(INDEX(INVENTARIO!$D:$D,MATCH(B62,INVENTARIO!$A:$A,0)),""))</f>
        <v/>
      </c>
      <c r="F62" s="10" t="n"/>
      <c r="G62" s="9">
        <f>IF(B62="","",IFERROR(INDEX(INVENTARIO!$F:$F,MATCH(B62,INVENTARIO!$A:$A,0)),""))</f>
        <v/>
      </c>
      <c r="H62" s="19">
        <f>IF(B62="","",G62*F62)</f>
        <v/>
      </c>
      <c r="I62" s="5" t="n"/>
    </row>
    <row r="63">
      <c r="A63" s="18" t="n"/>
      <c r="B63" s="5" t="n"/>
      <c r="C63" s="2">
        <f>IF(B63="","",IFERROR(INDEX(INVENTARIO!$B:$B,MATCH(B63,INVENTARIO!$A:$A,0)),"No encontrado"))</f>
        <v/>
      </c>
      <c r="D63" s="2">
        <f>IF(B63="","",IFERROR(INDEX(INVENTARIO!$C:$C,MATCH(B63,INVENTARIO!$A:$A,0)),""))</f>
        <v/>
      </c>
      <c r="E63" s="2">
        <f>IF(B63="","",IFERROR(INDEX(INVENTARIO!$D:$D,MATCH(B63,INVENTARIO!$A:$A,0)),""))</f>
        <v/>
      </c>
      <c r="F63" s="10" t="n"/>
      <c r="G63" s="9">
        <f>IF(B63="","",IFERROR(INDEX(INVENTARIO!$F:$F,MATCH(B63,INVENTARIO!$A:$A,0)),""))</f>
        <v/>
      </c>
      <c r="H63" s="19">
        <f>IF(B63="","",G63*F63)</f>
        <v/>
      </c>
      <c r="I63" s="5" t="n"/>
    </row>
    <row r="64">
      <c r="A64" s="18" t="n"/>
      <c r="B64" s="5" t="n"/>
      <c r="C64" s="2">
        <f>IF(B64="","",IFERROR(INDEX(INVENTARIO!$B:$B,MATCH(B64,INVENTARIO!$A:$A,0)),"No encontrado"))</f>
        <v/>
      </c>
      <c r="D64" s="2">
        <f>IF(B64="","",IFERROR(INDEX(INVENTARIO!$C:$C,MATCH(B64,INVENTARIO!$A:$A,0)),""))</f>
        <v/>
      </c>
      <c r="E64" s="2">
        <f>IF(B64="","",IFERROR(INDEX(INVENTARIO!$D:$D,MATCH(B64,INVENTARIO!$A:$A,0)),""))</f>
        <v/>
      </c>
      <c r="F64" s="10" t="n"/>
      <c r="G64" s="9">
        <f>IF(B64="","",IFERROR(INDEX(INVENTARIO!$F:$F,MATCH(B64,INVENTARIO!$A:$A,0)),""))</f>
        <v/>
      </c>
      <c r="H64" s="19">
        <f>IF(B64="","",G64*F64)</f>
        <v/>
      </c>
      <c r="I64" s="5" t="n"/>
    </row>
    <row r="65">
      <c r="A65" s="18" t="n"/>
      <c r="B65" s="5" t="n"/>
      <c r="C65" s="2">
        <f>IF(B65="","",IFERROR(INDEX(INVENTARIO!$B:$B,MATCH(B65,INVENTARIO!$A:$A,0)),"No encontrado"))</f>
        <v/>
      </c>
      <c r="D65" s="2">
        <f>IF(B65="","",IFERROR(INDEX(INVENTARIO!$C:$C,MATCH(B65,INVENTARIO!$A:$A,0)),""))</f>
        <v/>
      </c>
      <c r="E65" s="2">
        <f>IF(B65="","",IFERROR(INDEX(INVENTARIO!$D:$D,MATCH(B65,INVENTARIO!$A:$A,0)),""))</f>
        <v/>
      </c>
      <c r="F65" s="10" t="n"/>
      <c r="G65" s="9">
        <f>IF(B65="","",IFERROR(INDEX(INVENTARIO!$F:$F,MATCH(B65,INVENTARIO!$A:$A,0)),""))</f>
        <v/>
      </c>
      <c r="H65" s="19">
        <f>IF(B65="","",G65*F65)</f>
        <v/>
      </c>
      <c r="I65" s="5" t="n"/>
    </row>
    <row r="66">
      <c r="A66" s="18" t="n"/>
      <c r="B66" s="5" t="n"/>
      <c r="C66" s="2">
        <f>IF(B66="","",IFERROR(INDEX(INVENTARIO!$B:$B,MATCH(B66,INVENTARIO!$A:$A,0)),"No encontrado"))</f>
        <v/>
      </c>
      <c r="D66" s="2">
        <f>IF(B66="","",IFERROR(INDEX(INVENTARIO!$C:$C,MATCH(B66,INVENTARIO!$A:$A,0)),""))</f>
        <v/>
      </c>
      <c r="E66" s="2">
        <f>IF(B66="","",IFERROR(INDEX(INVENTARIO!$D:$D,MATCH(B66,INVENTARIO!$A:$A,0)),""))</f>
        <v/>
      </c>
      <c r="F66" s="10" t="n"/>
      <c r="G66" s="9">
        <f>IF(B66="","",IFERROR(INDEX(INVENTARIO!$F:$F,MATCH(B66,INVENTARIO!$A:$A,0)),""))</f>
        <v/>
      </c>
      <c r="H66" s="19">
        <f>IF(B66="","",G66*F66)</f>
        <v/>
      </c>
      <c r="I66" s="5" t="n"/>
    </row>
    <row r="67">
      <c r="A67" s="18" t="n"/>
      <c r="B67" s="5" t="n"/>
      <c r="C67" s="2">
        <f>IF(B67="","",IFERROR(INDEX(INVENTARIO!$B:$B,MATCH(B67,INVENTARIO!$A:$A,0)),"No encontrado"))</f>
        <v/>
      </c>
      <c r="D67" s="2">
        <f>IF(B67="","",IFERROR(INDEX(INVENTARIO!$C:$C,MATCH(B67,INVENTARIO!$A:$A,0)),""))</f>
        <v/>
      </c>
      <c r="E67" s="2">
        <f>IF(B67="","",IFERROR(INDEX(INVENTARIO!$D:$D,MATCH(B67,INVENTARIO!$A:$A,0)),""))</f>
        <v/>
      </c>
      <c r="F67" s="10" t="n"/>
      <c r="G67" s="9">
        <f>IF(B67="","",IFERROR(INDEX(INVENTARIO!$F:$F,MATCH(B67,INVENTARIO!$A:$A,0)),""))</f>
        <v/>
      </c>
      <c r="H67" s="19">
        <f>IF(B67="","",G67*F67)</f>
        <v/>
      </c>
      <c r="I67" s="5" t="n"/>
    </row>
    <row r="68">
      <c r="A68" s="18" t="n"/>
      <c r="B68" s="5" t="n"/>
      <c r="C68" s="2">
        <f>IF(B68="","",IFERROR(INDEX(INVENTARIO!$B:$B,MATCH(B68,INVENTARIO!$A:$A,0)),"No encontrado"))</f>
        <v/>
      </c>
      <c r="D68" s="2">
        <f>IF(B68="","",IFERROR(INDEX(INVENTARIO!$C:$C,MATCH(B68,INVENTARIO!$A:$A,0)),""))</f>
        <v/>
      </c>
      <c r="E68" s="2">
        <f>IF(B68="","",IFERROR(INDEX(INVENTARIO!$D:$D,MATCH(B68,INVENTARIO!$A:$A,0)),""))</f>
        <v/>
      </c>
      <c r="F68" s="10" t="n"/>
      <c r="G68" s="9">
        <f>IF(B68="","",IFERROR(INDEX(INVENTARIO!$F:$F,MATCH(B68,INVENTARIO!$A:$A,0)),""))</f>
        <v/>
      </c>
      <c r="H68" s="19">
        <f>IF(B68="","",G68*F68)</f>
        <v/>
      </c>
      <c r="I68" s="5" t="n"/>
    </row>
    <row r="69">
      <c r="A69" s="18" t="n"/>
      <c r="B69" s="5" t="n"/>
      <c r="C69" s="2">
        <f>IF(B69="","",IFERROR(INDEX(INVENTARIO!$B:$B,MATCH(B69,INVENTARIO!$A:$A,0)),"No encontrado"))</f>
        <v/>
      </c>
      <c r="D69" s="2">
        <f>IF(B69="","",IFERROR(INDEX(INVENTARIO!$C:$C,MATCH(B69,INVENTARIO!$A:$A,0)),""))</f>
        <v/>
      </c>
      <c r="E69" s="2">
        <f>IF(B69="","",IFERROR(INDEX(INVENTARIO!$D:$D,MATCH(B69,INVENTARIO!$A:$A,0)),""))</f>
        <v/>
      </c>
      <c r="F69" s="10" t="n"/>
      <c r="G69" s="9">
        <f>IF(B69="","",IFERROR(INDEX(INVENTARIO!$F:$F,MATCH(B69,INVENTARIO!$A:$A,0)),""))</f>
        <v/>
      </c>
      <c r="H69" s="19">
        <f>IF(B69="","",G69*F69)</f>
        <v/>
      </c>
      <c r="I69" s="5" t="n"/>
    </row>
    <row r="70">
      <c r="A70" s="18" t="n"/>
      <c r="B70" s="5" t="n"/>
      <c r="C70" s="2">
        <f>IF(B70="","",IFERROR(INDEX(INVENTARIO!$B:$B,MATCH(B70,INVENTARIO!$A:$A,0)),"No encontrado"))</f>
        <v/>
      </c>
      <c r="D70" s="2">
        <f>IF(B70="","",IFERROR(INDEX(INVENTARIO!$C:$C,MATCH(B70,INVENTARIO!$A:$A,0)),""))</f>
        <v/>
      </c>
      <c r="E70" s="2">
        <f>IF(B70="","",IFERROR(INDEX(INVENTARIO!$D:$D,MATCH(B70,INVENTARIO!$A:$A,0)),""))</f>
        <v/>
      </c>
      <c r="F70" s="10" t="n"/>
      <c r="G70" s="9">
        <f>IF(B70="","",IFERROR(INDEX(INVENTARIO!$F:$F,MATCH(B70,INVENTARIO!$A:$A,0)),""))</f>
        <v/>
      </c>
      <c r="H70" s="19">
        <f>IF(B70="","",G70*F70)</f>
        <v/>
      </c>
      <c r="I70" s="5" t="n"/>
    </row>
    <row r="71">
      <c r="A71" s="18" t="n"/>
      <c r="B71" s="5" t="n"/>
      <c r="C71" s="2">
        <f>IF(B71="","",IFERROR(INDEX(INVENTARIO!$B:$B,MATCH(B71,INVENTARIO!$A:$A,0)),"No encontrado"))</f>
        <v/>
      </c>
      <c r="D71" s="2">
        <f>IF(B71="","",IFERROR(INDEX(INVENTARIO!$C:$C,MATCH(B71,INVENTARIO!$A:$A,0)),""))</f>
        <v/>
      </c>
      <c r="E71" s="2">
        <f>IF(B71="","",IFERROR(INDEX(INVENTARIO!$D:$D,MATCH(B71,INVENTARIO!$A:$A,0)),""))</f>
        <v/>
      </c>
      <c r="F71" s="10" t="n"/>
      <c r="G71" s="9">
        <f>IF(B71="","",IFERROR(INDEX(INVENTARIO!$F:$F,MATCH(B71,INVENTARIO!$A:$A,0)),""))</f>
        <v/>
      </c>
      <c r="H71" s="19">
        <f>IF(B71="","",G71*F71)</f>
        <v/>
      </c>
      <c r="I71" s="5" t="n"/>
    </row>
    <row r="72">
      <c r="A72" s="18" t="n"/>
      <c r="B72" s="5" t="n"/>
      <c r="C72" s="2">
        <f>IF(B72="","",IFERROR(INDEX(INVENTARIO!$B:$B,MATCH(B72,INVENTARIO!$A:$A,0)),"No encontrado"))</f>
        <v/>
      </c>
      <c r="D72" s="2">
        <f>IF(B72="","",IFERROR(INDEX(INVENTARIO!$C:$C,MATCH(B72,INVENTARIO!$A:$A,0)),""))</f>
        <v/>
      </c>
      <c r="E72" s="2">
        <f>IF(B72="","",IFERROR(INDEX(INVENTARIO!$D:$D,MATCH(B72,INVENTARIO!$A:$A,0)),""))</f>
        <v/>
      </c>
      <c r="F72" s="10" t="n"/>
      <c r="G72" s="9">
        <f>IF(B72="","",IFERROR(INDEX(INVENTARIO!$F:$F,MATCH(B72,INVENTARIO!$A:$A,0)),""))</f>
        <v/>
      </c>
      <c r="H72" s="19">
        <f>IF(B72="","",G72*F72)</f>
        <v/>
      </c>
      <c r="I72" s="5" t="n"/>
    </row>
    <row r="73">
      <c r="A73" s="18" t="n"/>
      <c r="B73" s="5" t="n"/>
      <c r="C73" s="2">
        <f>IF(B73="","",IFERROR(INDEX(INVENTARIO!$B:$B,MATCH(B73,INVENTARIO!$A:$A,0)),"No encontrado"))</f>
        <v/>
      </c>
      <c r="D73" s="2">
        <f>IF(B73="","",IFERROR(INDEX(INVENTARIO!$C:$C,MATCH(B73,INVENTARIO!$A:$A,0)),""))</f>
        <v/>
      </c>
      <c r="E73" s="2">
        <f>IF(B73="","",IFERROR(INDEX(INVENTARIO!$D:$D,MATCH(B73,INVENTARIO!$A:$A,0)),""))</f>
        <v/>
      </c>
      <c r="F73" s="10" t="n"/>
      <c r="G73" s="9">
        <f>IF(B73="","",IFERROR(INDEX(INVENTARIO!$F:$F,MATCH(B73,INVENTARIO!$A:$A,0)),""))</f>
        <v/>
      </c>
      <c r="H73" s="19">
        <f>IF(B73="","",G73*F73)</f>
        <v/>
      </c>
      <c r="I73" s="5" t="n"/>
    </row>
    <row r="74">
      <c r="A74" s="18" t="n"/>
      <c r="B74" s="5" t="n"/>
      <c r="C74" s="2">
        <f>IF(B74="","",IFERROR(INDEX(INVENTARIO!$B:$B,MATCH(B74,INVENTARIO!$A:$A,0)),"No encontrado"))</f>
        <v/>
      </c>
      <c r="D74" s="2">
        <f>IF(B74="","",IFERROR(INDEX(INVENTARIO!$C:$C,MATCH(B74,INVENTARIO!$A:$A,0)),""))</f>
        <v/>
      </c>
      <c r="E74" s="2">
        <f>IF(B74="","",IFERROR(INDEX(INVENTARIO!$D:$D,MATCH(B74,INVENTARIO!$A:$A,0)),""))</f>
        <v/>
      </c>
      <c r="F74" s="10" t="n"/>
      <c r="G74" s="9">
        <f>IF(B74="","",IFERROR(INDEX(INVENTARIO!$F:$F,MATCH(B74,INVENTARIO!$A:$A,0)),""))</f>
        <v/>
      </c>
      <c r="H74" s="19">
        <f>IF(B74="","",G74*F74)</f>
        <v/>
      </c>
      <c r="I74" s="5" t="n"/>
    </row>
    <row r="75">
      <c r="A75" s="18" t="n"/>
      <c r="B75" s="5" t="n"/>
      <c r="C75" s="2">
        <f>IF(B75="","",IFERROR(INDEX(INVENTARIO!$B:$B,MATCH(B75,INVENTARIO!$A:$A,0)),"No encontrado"))</f>
        <v/>
      </c>
      <c r="D75" s="2">
        <f>IF(B75="","",IFERROR(INDEX(INVENTARIO!$C:$C,MATCH(B75,INVENTARIO!$A:$A,0)),""))</f>
        <v/>
      </c>
      <c r="E75" s="2">
        <f>IF(B75="","",IFERROR(INDEX(INVENTARIO!$D:$D,MATCH(B75,INVENTARIO!$A:$A,0)),""))</f>
        <v/>
      </c>
      <c r="F75" s="10" t="n"/>
      <c r="G75" s="9">
        <f>IF(B75="","",IFERROR(INDEX(INVENTARIO!$F:$F,MATCH(B75,INVENTARIO!$A:$A,0)),""))</f>
        <v/>
      </c>
      <c r="H75" s="19">
        <f>IF(B75="","",G75*F75)</f>
        <v/>
      </c>
      <c r="I75" s="5" t="n"/>
    </row>
    <row r="76">
      <c r="A76" s="18" t="n"/>
      <c r="B76" s="5" t="n"/>
      <c r="C76" s="2">
        <f>IF(B76="","",IFERROR(INDEX(INVENTARIO!$B:$B,MATCH(B76,INVENTARIO!$A:$A,0)),"No encontrado"))</f>
        <v/>
      </c>
      <c r="D76" s="2">
        <f>IF(B76="","",IFERROR(INDEX(INVENTARIO!$C:$C,MATCH(B76,INVENTARIO!$A:$A,0)),""))</f>
        <v/>
      </c>
      <c r="E76" s="2">
        <f>IF(B76="","",IFERROR(INDEX(INVENTARIO!$D:$D,MATCH(B76,INVENTARIO!$A:$A,0)),""))</f>
        <v/>
      </c>
      <c r="F76" s="10" t="n"/>
      <c r="G76" s="9">
        <f>IF(B76="","",IFERROR(INDEX(INVENTARIO!$F:$F,MATCH(B76,INVENTARIO!$A:$A,0)),""))</f>
        <v/>
      </c>
      <c r="H76" s="19">
        <f>IF(B76="","",G76*F76)</f>
        <v/>
      </c>
      <c r="I76" s="5" t="n"/>
    </row>
    <row r="77">
      <c r="A77" s="18" t="n"/>
      <c r="B77" s="5" t="n"/>
      <c r="C77" s="2">
        <f>IF(B77="","",IFERROR(INDEX(INVENTARIO!$B:$B,MATCH(B77,INVENTARIO!$A:$A,0)),"No encontrado"))</f>
        <v/>
      </c>
      <c r="D77" s="2">
        <f>IF(B77="","",IFERROR(INDEX(INVENTARIO!$C:$C,MATCH(B77,INVENTARIO!$A:$A,0)),""))</f>
        <v/>
      </c>
      <c r="E77" s="2">
        <f>IF(B77="","",IFERROR(INDEX(INVENTARIO!$D:$D,MATCH(B77,INVENTARIO!$A:$A,0)),""))</f>
        <v/>
      </c>
      <c r="F77" s="10" t="n"/>
      <c r="G77" s="9">
        <f>IF(B77="","",IFERROR(INDEX(INVENTARIO!$F:$F,MATCH(B77,INVENTARIO!$A:$A,0)),""))</f>
        <v/>
      </c>
      <c r="H77" s="19">
        <f>IF(B77="","",G77*F77)</f>
        <v/>
      </c>
      <c r="I77" s="5" t="n"/>
    </row>
    <row r="78">
      <c r="A78" s="18" t="n"/>
      <c r="B78" s="5" t="n"/>
      <c r="C78" s="2">
        <f>IF(B78="","",IFERROR(INDEX(INVENTARIO!$B:$B,MATCH(B78,INVENTARIO!$A:$A,0)),"No encontrado"))</f>
        <v/>
      </c>
      <c r="D78" s="2">
        <f>IF(B78="","",IFERROR(INDEX(INVENTARIO!$C:$C,MATCH(B78,INVENTARIO!$A:$A,0)),""))</f>
        <v/>
      </c>
      <c r="E78" s="2">
        <f>IF(B78="","",IFERROR(INDEX(INVENTARIO!$D:$D,MATCH(B78,INVENTARIO!$A:$A,0)),""))</f>
        <v/>
      </c>
      <c r="F78" s="10" t="n"/>
      <c r="G78" s="9">
        <f>IF(B78="","",IFERROR(INDEX(INVENTARIO!$F:$F,MATCH(B78,INVENTARIO!$A:$A,0)),""))</f>
        <v/>
      </c>
      <c r="H78" s="19">
        <f>IF(B78="","",G78*F78)</f>
        <v/>
      </c>
      <c r="I78" s="5" t="n"/>
    </row>
    <row r="79">
      <c r="A79" s="18" t="n"/>
      <c r="B79" s="5" t="n"/>
      <c r="C79" s="2">
        <f>IF(B79="","",IFERROR(INDEX(INVENTARIO!$B:$B,MATCH(B79,INVENTARIO!$A:$A,0)),"No encontrado"))</f>
        <v/>
      </c>
      <c r="D79" s="2">
        <f>IF(B79="","",IFERROR(INDEX(INVENTARIO!$C:$C,MATCH(B79,INVENTARIO!$A:$A,0)),""))</f>
        <v/>
      </c>
      <c r="E79" s="2">
        <f>IF(B79="","",IFERROR(INDEX(INVENTARIO!$D:$D,MATCH(B79,INVENTARIO!$A:$A,0)),""))</f>
        <v/>
      </c>
      <c r="F79" s="10" t="n"/>
      <c r="G79" s="9">
        <f>IF(B79="","",IFERROR(INDEX(INVENTARIO!$F:$F,MATCH(B79,INVENTARIO!$A:$A,0)),""))</f>
        <v/>
      </c>
      <c r="H79" s="19">
        <f>IF(B79="","",G79*F79)</f>
        <v/>
      </c>
      <c r="I79" s="5" t="n"/>
    </row>
    <row r="80">
      <c r="A80" s="18" t="n"/>
      <c r="B80" s="5" t="n"/>
      <c r="C80" s="2">
        <f>IF(B80="","",IFERROR(INDEX(INVENTARIO!$B:$B,MATCH(B80,INVENTARIO!$A:$A,0)),"No encontrado"))</f>
        <v/>
      </c>
      <c r="D80" s="2">
        <f>IF(B80="","",IFERROR(INDEX(INVENTARIO!$C:$C,MATCH(B80,INVENTARIO!$A:$A,0)),""))</f>
        <v/>
      </c>
      <c r="E80" s="2">
        <f>IF(B80="","",IFERROR(INDEX(INVENTARIO!$D:$D,MATCH(B80,INVENTARIO!$A:$A,0)),""))</f>
        <v/>
      </c>
      <c r="F80" s="10" t="n"/>
      <c r="G80" s="9">
        <f>IF(B80="","",IFERROR(INDEX(INVENTARIO!$F:$F,MATCH(B80,INVENTARIO!$A:$A,0)),""))</f>
        <v/>
      </c>
      <c r="H80" s="19">
        <f>IF(B80="","",G80*F80)</f>
        <v/>
      </c>
      <c r="I80" s="5" t="n"/>
    </row>
    <row r="81">
      <c r="A81" s="18" t="n"/>
      <c r="B81" s="5" t="n"/>
      <c r="C81" s="2">
        <f>IF(B81="","",IFERROR(INDEX(INVENTARIO!$B:$B,MATCH(B81,INVENTARIO!$A:$A,0)),"No encontrado"))</f>
        <v/>
      </c>
      <c r="D81" s="2">
        <f>IF(B81="","",IFERROR(INDEX(INVENTARIO!$C:$C,MATCH(B81,INVENTARIO!$A:$A,0)),""))</f>
        <v/>
      </c>
      <c r="E81" s="2">
        <f>IF(B81="","",IFERROR(INDEX(INVENTARIO!$D:$D,MATCH(B81,INVENTARIO!$A:$A,0)),""))</f>
        <v/>
      </c>
      <c r="F81" s="10" t="n"/>
      <c r="G81" s="9">
        <f>IF(B81="","",IFERROR(INDEX(INVENTARIO!$F:$F,MATCH(B81,INVENTARIO!$A:$A,0)),""))</f>
        <v/>
      </c>
      <c r="H81" s="19">
        <f>IF(B81="","",G81*F81)</f>
        <v/>
      </c>
      <c r="I81" s="5" t="n"/>
    </row>
    <row r="82">
      <c r="A82" s="18" t="n"/>
      <c r="B82" s="5" t="n"/>
      <c r="C82" s="2">
        <f>IF(B82="","",IFERROR(INDEX(INVENTARIO!$B:$B,MATCH(B82,INVENTARIO!$A:$A,0)),"No encontrado"))</f>
        <v/>
      </c>
      <c r="D82" s="2">
        <f>IF(B82="","",IFERROR(INDEX(INVENTARIO!$C:$C,MATCH(B82,INVENTARIO!$A:$A,0)),""))</f>
        <v/>
      </c>
      <c r="E82" s="2">
        <f>IF(B82="","",IFERROR(INDEX(INVENTARIO!$D:$D,MATCH(B82,INVENTARIO!$A:$A,0)),""))</f>
        <v/>
      </c>
      <c r="F82" s="10" t="n"/>
      <c r="G82" s="9">
        <f>IF(B82="","",IFERROR(INDEX(INVENTARIO!$F:$F,MATCH(B82,INVENTARIO!$A:$A,0)),""))</f>
        <v/>
      </c>
      <c r="H82" s="19">
        <f>IF(B82="","",G82*F82)</f>
        <v/>
      </c>
      <c r="I82" s="5" t="n"/>
    </row>
    <row r="83">
      <c r="A83" s="18" t="n"/>
      <c r="B83" s="5" t="n"/>
      <c r="C83" s="2">
        <f>IF(B83="","",IFERROR(INDEX(INVENTARIO!$B:$B,MATCH(B83,INVENTARIO!$A:$A,0)),"No encontrado"))</f>
        <v/>
      </c>
      <c r="D83" s="2">
        <f>IF(B83="","",IFERROR(INDEX(INVENTARIO!$C:$C,MATCH(B83,INVENTARIO!$A:$A,0)),""))</f>
        <v/>
      </c>
      <c r="E83" s="2">
        <f>IF(B83="","",IFERROR(INDEX(INVENTARIO!$D:$D,MATCH(B83,INVENTARIO!$A:$A,0)),""))</f>
        <v/>
      </c>
      <c r="F83" s="10" t="n"/>
      <c r="G83" s="9">
        <f>IF(B83="","",IFERROR(INDEX(INVENTARIO!$F:$F,MATCH(B83,INVENTARIO!$A:$A,0)),""))</f>
        <v/>
      </c>
      <c r="H83" s="19">
        <f>IF(B83="","",G83*F83)</f>
        <v/>
      </c>
      <c r="I83" s="5" t="n"/>
    </row>
    <row r="84">
      <c r="A84" s="18" t="n"/>
      <c r="B84" s="5" t="n"/>
      <c r="C84" s="2">
        <f>IF(B84="","",IFERROR(INDEX(INVENTARIO!$B:$B,MATCH(B84,INVENTARIO!$A:$A,0)),"No encontrado"))</f>
        <v/>
      </c>
      <c r="D84" s="2">
        <f>IF(B84="","",IFERROR(INDEX(INVENTARIO!$C:$C,MATCH(B84,INVENTARIO!$A:$A,0)),""))</f>
        <v/>
      </c>
      <c r="E84" s="2">
        <f>IF(B84="","",IFERROR(INDEX(INVENTARIO!$D:$D,MATCH(B84,INVENTARIO!$A:$A,0)),""))</f>
        <v/>
      </c>
      <c r="F84" s="10" t="n"/>
      <c r="G84" s="9">
        <f>IF(B84="","",IFERROR(INDEX(INVENTARIO!$F:$F,MATCH(B84,INVENTARIO!$A:$A,0)),""))</f>
        <v/>
      </c>
      <c r="H84" s="19">
        <f>IF(B84="","",G84*F84)</f>
        <v/>
      </c>
      <c r="I84" s="5" t="n"/>
    </row>
    <row r="85">
      <c r="A85" s="18" t="n"/>
      <c r="B85" s="5" t="n"/>
      <c r="C85" s="2">
        <f>IF(B85="","",IFERROR(INDEX(INVENTARIO!$B:$B,MATCH(B85,INVENTARIO!$A:$A,0)),"No encontrado"))</f>
        <v/>
      </c>
      <c r="D85" s="2">
        <f>IF(B85="","",IFERROR(INDEX(INVENTARIO!$C:$C,MATCH(B85,INVENTARIO!$A:$A,0)),""))</f>
        <v/>
      </c>
      <c r="E85" s="2">
        <f>IF(B85="","",IFERROR(INDEX(INVENTARIO!$D:$D,MATCH(B85,INVENTARIO!$A:$A,0)),""))</f>
        <v/>
      </c>
      <c r="F85" s="10" t="n"/>
      <c r="G85" s="9">
        <f>IF(B85="","",IFERROR(INDEX(INVENTARIO!$F:$F,MATCH(B85,INVENTARIO!$A:$A,0)),""))</f>
        <v/>
      </c>
      <c r="H85" s="19">
        <f>IF(B85="","",G85*F85)</f>
        <v/>
      </c>
      <c r="I85" s="5" t="n"/>
    </row>
    <row r="86">
      <c r="A86" s="18" t="n"/>
      <c r="B86" s="5" t="n"/>
      <c r="C86" s="2">
        <f>IF(B86="","",IFERROR(INDEX(INVENTARIO!$B:$B,MATCH(B86,INVENTARIO!$A:$A,0)),"No encontrado"))</f>
        <v/>
      </c>
      <c r="D86" s="2">
        <f>IF(B86="","",IFERROR(INDEX(INVENTARIO!$C:$C,MATCH(B86,INVENTARIO!$A:$A,0)),""))</f>
        <v/>
      </c>
      <c r="E86" s="2">
        <f>IF(B86="","",IFERROR(INDEX(INVENTARIO!$D:$D,MATCH(B86,INVENTARIO!$A:$A,0)),""))</f>
        <v/>
      </c>
      <c r="F86" s="10" t="n"/>
      <c r="G86" s="9">
        <f>IF(B86="","",IFERROR(INDEX(INVENTARIO!$F:$F,MATCH(B86,INVENTARIO!$A:$A,0)),""))</f>
        <v/>
      </c>
      <c r="H86" s="19">
        <f>IF(B86="","",G86*F86)</f>
        <v/>
      </c>
      <c r="I86" s="5" t="n"/>
    </row>
    <row r="87">
      <c r="A87" s="18" t="n"/>
      <c r="B87" s="5" t="n"/>
      <c r="C87" s="2">
        <f>IF(B87="","",IFERROR(INDEX(INVENTARIO!$B:$B,MATCH(B87,INVENTARIO!$A:$A,0)),"No encontrado"))</f>
        <v/>
      </c>
      <c r="D87" s="2">
        <f>IF(B87="","",IFERROR(INDEX(INVENTARIO!$C:$C,MATCH(B87,INVENTARIO!$A:$A,0)),""))</f>
        <v/>
      </c>
      <c r="E87" s="2">
        <f>IF(B87="","",IFERROR(INDEX(INVENTARIO!$D:$D,MATCH(B87,INVENTARIO!$A:$A,0)),""))</f>
        <v/>
      </c>
      <c r="F87" s="10" t="n"/>
      <c r="G87" s="9">
        <f>IF(B87="","",IFERROR(INDEX(INVENTARIO!$F:$F,MATCH(B87,INVENTARIO!$A:$A,0)),""))</f>
        <v/>
      </c>
      <c r="H87" s="19">
        <f>IF(B87="","",G87*F87)</f>
        <v/>
      </c>
      <c r="I87" s="5" t="n"/>
    </row>
    <row r="88">
      <c r="A88" s="18" t="n"/>
      <c r="B88" s="5" t="n"/>
      <c r="C88" s="2">
        <f>IF(B88="","",IFERROR(INDEX(INVENTARIO!$B:$B,MATCH(B88,INVENTARIO!$A:$A,0)),"No encontrado"))</f>
        <v/>
      </c>
      <c r="D88" s="2">
        <f>IF(B88="","",IFERROR(INDEX(INVENTARIO!$C:$C,MATCH(B88,INVENTARIO!$A:$A,0)),""))</f>
        <v/>
      </c>
      <c r="E88" s="2">
        <f>IF(B88="","",IFERROR(INDEX(INVENTARIO!$D:$D,MATCH(B88,INVENTARIO!$A:$A,0)),""))</f>
        <v/>
      </c>
      <c r="F88" s="10" t="n"/>
      <c r="G88" s="9">
        <f>IF(B88="","",IFERROR(INDEX(INVENTARIO!$F:$F,MATCH(B88,INVENTARIO!$A:$A,0)),""))</f>
        <v/>
      </c>
      <c r="H88" s="19">
        <f>IF(B88="","",G88*F88)</f>
        <v/>
      </c>
      <c r="I88" s="5" t="n"/>
    </row>
    <row r="89">
      <c r="A89" s="18" t="n"/>
      <c r="B89" s="5" t="n"/>
      <c r="C89" s="2">
        <f>IF(B89="","",IFERROR(INDEX(INVENTARIO!$B:$B,MATCH(B89,INVENTARIO!$A:$A,0)),"No encontrado"))</f>
        <v/>
      </c>
      <c r="D89" s="2">
        <f>IF(B89="","",IFERROR(INDEX(INVENTARIO!$C:$C,MATCH(B89,INVENTARIO!$A:$A,0)),""))</f>
        <v/>
      </c>
      <c r="E89" s="2">
        <f>IF(B89="","",IFERROR(INDEX(INVENTARIO!$D:$D,MATCH(B89,INVENTARIO!$A:$A,0)),""))</f>
        <v/>
      </c>
      <c r="F89" s="10" t="n"/>
      <c r="G89" s="9">
        <f>IF(B89="","",IFERROR(INDEX(INVENTARIO!$F:$F,MATCH(B89,INVENTARIO!$A:$A,0)),""))</f>
        <v/>
      </c>
      <c r="H89" s="19">
        <f>IF(B89="","",G89*F89)</f>
        <v/>
      </c>
      <c r="I89" s="5" t="n"/>
    </row>
    <row r="90">
      <c r="A90" s="18" t="n"/>
      <c r="B90" s="5" t="n"/>
      <c r="C90" s="2">
        <f>IF(B90="","",IFERROR(INDEX(INVENTARIO!$B:$B,MATCH(B90,INVENTARIO!$A:$A,0)),"No encontrado"))</f>
        <v/>
      </c>
      <c r="D90" s="2">
        <f>IF(B90="","",IFERROR(INDEX(INVENTARIO!$C:$C,MATCH(B90,INVENTARIO!$A:$A,0)),""))</f>
        <v/>
      </c>
      <c r="E90" s="2">
        <f>IF(B90="","",IFERROR(INDEX(INVENTARIO!$D:$D,MATCH(B90,INVENTARIO!$A:$A,0)),""))</f>
        <v/>
      </c>
      <c r="F90" s="10" t="n"/>
      <c r="G90" s="9">
        <f>IF(B90="","",IFERROR(INDEX(INVENTARIO!$F:$F,MATCH(B90,INVENTARIO!$A:$A,0)),""))</f>
        <v/>
      </c>
      <c r="H90" s="19">
        <f>IF(B90="","",G90*F90)</f>
        <v/>
      </c>
      <c r="I90" s="5" t="n"/>
    </row>
    <row r="91">
      <c r="A91" s="18" t="n"/>
      <c r="B91" s="5" t="n"/>
      <c r="C91" s="2">
        <f>IF(B91="","",IFERROR(INDEX(INVENTARIO!$B:$B,MATCH(B91,INVENTARIO!$A:$A,0)),"No encontrado"))</f>
        <v/>
      </c>
      <c r="D91" s="2">
        <f>IF(B91="","",IFERROR(INDEX(INVENTARIO!$C:$C,MATCH(B91,INVENTARIO!$A:$A,0)),""))</f>
        <v/>
      </c>
      <c r="E91" s="2">
        <f>IF(B91="","",IFERROR(INDEX(INVENTARIO!$D:$D,MATCH(B91,INVENTARIO!$A:$A,0)),""))</f>
        <v/>
      </c>
      <c r="F91" s="10" t="n"/>
      <c r="G91" s="9">
        <f>IF(B91="","",IFERROR(INDEX(INVENTARIO!$F:$F,MATCH(B91,INVENTARIO!$A:$A,0)),""))</f>
        <v/>
      </c>
      <c r="H91" s="19">
        <f>IF(B91="","",G91*F91)</f>
        <v/>
      </c>
      <c r="I91" s="5" t="n"/>
    </row>
    <row r="92">
      <c r="A92" s="18" t="n"/>
      <c r="B92" s="5" t="n"/>
      <c r="C92" s="2">
        <f>IF(B92="","",IFERROR(INDEX(INVENTARIO!$B:$B,MATCH(B92,INVENTARIO!$A:$A,0)),"No encontrado"))</f>
        <v/>
      </c>
      <c r="D92" s="2">
        <f>IF(B92="","",IFERROR(INDEX(INVENTARIO!$C:$C,MATCH(B92,INVENTARIO!$A:$A,0)),""))</f>
        <v/>
      </c>
      <c r="E92" s="2">
        <f>IF(B92="","",IFERROR(INDEX(INVENTARIO!$D:$D,MATCH(B92,INVENTARIO!$A:$A,0)),""))</f>
        <v/>
      </c>
      <c r="F92" s="10" t="n"/>
      <c r="G92" s="9">
        <f>IF(B92="","",IFERROR(INDEX(INVENTARIO!$F:$F,MATCH(B92,INVENTARIO!$A:$A,0)),""))</f>
        <v/>
      </c>
      <c r="H92" s="19">
        <f>IF(B92="","",G92*F92)</f>
        <v/>
      </c>
      <c r="I92" s="5" t="n"/>
    </row>
    <row r="93">
      <c r="A93" s="18" t="n"/>
      <c r="B93" s="5" t="n"/>
      <c r="C93" s="2">
        <f>IF(B93="","",IFERROR(INDEX(INVENTARIO!$B:$B,MATCH(B93,INVENTARIO!$A:$A,0)),"No encontrado"))</f>
        <v/>
      </c>
      <c r="D93" s="2">
        <f>IF(B93="","",IFERROR(INDEX(INVENTARIO!$C:$C,MATCH(B93,INVENTARIO!$A:$A,0)),""))</f>
        <v/>
      </c>
      <c r="E93" s="2">
        <f>IF(B93="","",IFERROR(INDEX(INVENTARIO!$D:$D,MATCH(B93,INVENTARIO!$A:$A,0)),""))</f>
        <v/>
      </c>
      <c r="F93" s="10" t="n"/>
      <c r="G93" s="9">
        <f>IF(B93="","",IFERROR(INDEX(INVENTARIO!$F:$F,MATCH(B93,INVENTARIO!$A:$A,0)),""))</f>
        <v/>
      </c>
      <c r="H93" s="19">
        <f>IF(B93="","",G93*F93)</f>
        <v/>
      </c>
      <c r="I93" s="5" t="n"/>
    </row>
    <row r="94">
      <c r="A94" s="18" t="n"/>
      <c r="B94" s="5" t="n"/>
      <c r="C94" s="2">
        <f>IF(B94="","",IFERROR(INDEX(INVENTARIO!$B:$B,MATCH(B94,INVENTARIO!$A:$A,0)),"No encontrado"))</f>
        <v/>
      </c>
      <c r="D94" s="2">
        <f>IF(B94="","",IFERROR(INDEX(INVENTARIO!$C:$C,MATCH(B94,INVENTARIO!$A:$A,0)),""))</f>
        <v/>
      </c>
      <c r="E94" s="2">
        <f>IF(B94="","",IFERROR(INDEX(INVENTARIO!$D:$D,MATCH(B94,INVENTARIO!$A:$A,0)),""))</f>
        <v/>
      </c>
      <c r="F94" s="10" t="n"/>
      <c r="G94" s="9">
        <f>IF(B94="","",IFERROR(INDEX(INVENTARIO!$F:$F,MATCH(B94,INVENTARIO!$A:$A,0)),""))</f>
        <v/>
      </c>
      <c r="H94" s="19">
        <f>IF(B94="","",G94*F94)</f>
        <v/>
      </c>
      <c r="I94" s="5" t="n"/>
    </row>
    <row r="95">
      <c r="A95" s="18" t="n"/>
      <c r="B95" s="5" t="n"/>
      <c r="C95" s="2">
        <f>IF(B95="","",IFERROR(INDEX(INVENTARIO!$B:$B,MATCH(B95,INVENTARIO!$A:$A,0)),"No encontrado"))</f>
        <v/>
      </c>
      <c r="D95" s="2">
        <f>IF(B95="","",IFERROR(INDEX(INVENTARIO!$C:$C,MATCH(B95,INVENTARIO!$A:$A,0)),""))</f>
        <v/>
      </c>
      <c r="E95" s="2">
        <f>IF(B95="","",IFERROR(INDEX(INVENTARIO!$D:$D,MATCH(B95,INVENTARIO!$A:$A,0)),""))</f>
        <v/>
      </c>
      <c r="F95" s="10" t="n"/>
      <c r="G95" s="9">
        <f>IF(B95="","",IFERROR(INDEX(INVENTARIO!$F:$F,MATCH(B95,INVENTARIO!$A:$A,0)),""))</f>
        <v/>
      </c>
      <c r="H95" s="19">
        <f>IF(B95="","",G95*F95)</f>
        <v/>
      </c>
      <c r="I95" s="5" t="n"/>
    </row>
    <row r="96">
      <c r="A96" s="18" t="n"/>
      <c r="B96" s="5" t="n"/>
      <c r="C96" s="2">
        <f>IF(B96="","",IFERROR(INDEX(INVENTARIO!$B:$B,MATCH(B96,INVENTARIO!$A:$A,0)),"No encontrado"))</f>
        <v/>
      </c>
      <c r="D96" s="2">
        <f>IF(B96="","",IFERROR(INDEX(INVENTARIO!$C:$C,MATCH(B96,INVENTARIO!$A:$A,0)),""))</f>
        <v/>
      </c>
      <c r="E96" s="2">
        <f>IF(B96="","",IFERROR(INDEX(INVENTARIO!$D:$D,MATCH(B96,INVENTARIO!$A:$A,0)),""))</f>
        <v/>
      </c>
      <c r="F96" s="10" t="n"/>
      <c r="G96" s="9">
        <f>IF(B96="","",IFERROR(INDEX(INVENTARIO!$F:$F,MATCH(B96,INVENTARIO!$A:$A,0)),""))</f>
        <v/>
      </c>
      <c r="H96" s="19">
        <f>IF(B96="","",G96*F96)</f>
        <v/>
      </c>
      <c r="I96" s="5" t="n"/>
    </row>
    <row r="97">
      <c r="A97" s="18" t="n"/>
      <c r="B97" s="5" t="n"/>
      <c r="C97" s="2">
        <f>IF(B97="","",IFERROR(INDEX(INVENTARIO!$B:$B,MATCH(B97,INVENTARIO!$A:$A,0)),"No encontrado"))</f>
        <v/>
      </c>
      <c r="D97" s="2">
        <f>IF(B97="","",IFERROR(INDEX(INVENTARIO!$C:$C,MATCH(B97,INVENTARIO!$A:$A,0)),""))</f>
        <v/>
      </c>
      <c r="E97" s="2">
        <f>IF(B97="","",IFERROR(INDEX(INVENTARIO!$D:$D,MATCH(B97,INVENTARIO!$A:$A,0)),""))</f>
        <v/>
      </c>
      <c r="F97" s="10" t="n"/>
      <c r="G97" s="9">
        <f>IF(B97="","",IFERROR(INDEX(INVENTARIO!$F:$F,MATCH(B97,INVENTARIO!$A:$A,0)),""))</f>
        <v/>
      </c>
      <c r="H97" s="19">
        <f>IF(B97="","",G97*F97)</f>
        <v/>
      </c>
      <c r="I97" s="5" t="n"/>
    </row>
    <row r="98">
      <c r="A98" s="18" t="n"/>
      <c r="B98" s="5" t="n"/>
      <c r="C98" s="2">
        <f>IF(B98="","",IFERROR(INDEX(INVENTARIO!$B:$B,MATCH(B98,INVENTARIO!$A:$A,0)),"No encontrado"))</f>
        <v/>
      </c>
      <c r="D98" s="2">
        <f>IF(B98="","",IFERROR(INDEX(INVENTARIO!$C:$C,MATCH(B98,INVENTARIO!$A:$A,0)),""))</f>
        <v/>
      </c>
      <c r="E98" s="2">
        <f>IF(B98="","",IFERROR(INDEX(INVENTARIO!$D:$D,MATCH(B98,INVENTARIO!$A:$A,0)),""))</f>
        <v/>
      </c>
      <c r="F98" s="10" t="n"/>
      <c r="G98" s="9">
        <f>IF(B98="","",IFERROR(INDEX(INVENTARIO!$F:$F,MATCH(B98,INVENTARIO!$A:$A,0)),""))</f>
        <v/>
      </c>
      <c r="H98" s="19">
        <f>IF(B98="","",G98*F98)</f>
        <v/>
      </c>
      <c r="I98" s="5" t="n"/>
    </row>
    <row r="99">
      <c r="A99" s="18" t="n"/>
      <c r="B99" s="5" t="n"/>
      <c r="C99" s="2">
        <f>IF(B99="","",IFERROR(INDEX(INVENTARIO!$B:$B,MATCH(B99,INVENTARIO!$A:$A,0)),"No encontrado"))</f>
        <v/>
      </c>
      <c r="D99" s="2">
        <f>IF(B99="","",IFERROR(INDEX(INVENTARIO!$C:$C,MATCH(B99,INVENTARIO!$A:$A,0)),""))</f>
        <v/>
      </c>
      <c r="E99" s="2">
        <f>IF(B99="","",IFERROR(INDEX(INVENTARIO!$D:$D,MATCH(B99,INVENTARIO!$A:$A,0)),""))</f>
        <v/>
      </c>
      <c r="F99" s="10" t="n"/>
      <c r="G99" s="9">
        <f>IF(B99="","",IFERROR(INDEX(INVENTARIO!$F:$F,MATCH(B99,INVENTARIO!$A:$A,0)),""))</f>
        <v/>
      </c>
      <c r="H99" s="19">
        <f>IF(B99="","",G99*F99)</f>
        <v/>
      </c>
      <c r="I99" s="5" t="n"/>
    </row>
    <row r="100">
      <c r="A100" s="18" t="n"/>
      <c r="B100" s="5" t="n"/>
      <c r="C100" s="2">
        <f>IF(B100="","",IFERROR(INDEX(INVENTARIO!$B:$B,MATCH(B100,INVENTARIO!$A:$A,0)),"No encontrado"))</f>
        <v/>
      </c>
      <c r="D100" s="2">
        <f>IF(B100="","",IFERROR(INDEX(INVENTARIO!$C:$C,MATCH(B100,INVENTARIO!$A:$A,0)),""))</f>
        <v/>
      </c>
      <c r="E100" s="2">
        <f>IF(B100="","",IFERROR(INDEX(INVENTARIO!$D:$D,MATCH(B100,INVENTARIO!$A:$A,0)),""))</f>
        <v/>
      </c>
      <c r="F100" s="10" t="n"/>
      <c r="G100" s="9">
        <f>IF(B100="","",IFERROR(INDEX(INVENTARIO!$F:$F,MATCH(B100,INVENTARIO!$A:$A,0)),""))</f>
        <v/>
      </c>
      <c r="H100" s="19">
        <f>IF(B100="","",G100*F100)</f>
        <v/>
      </c>
      <c r="I100" s="5" t="n"/>
    </row>
    <row r="101">
      <c r="A101" s="18" t="n"/>
      <c r="B101" s="5" t="n"/>
      <c r="C101" s="2">
        <f>IF(B101="","",IFERROR(INDEX(INVENTARIO!$B:$B,MATCH(B101,INVENTARIO!$A:$A,0)),"No encontrado"))</f>
        <v/>
      </c>
      <c r="D101" s="2">
        <f>IF(B101="","",IFERROR(INDEX(INVENTARIO!$C:$C,MATCH(B101,INVENTARIO!$A:$A,0)),""))</f>
        <v/>
      </c>
      <c r="E101" s="2">
        <f>IF(B101="","",IFERROR(INDEX(INVENTARIO!$D:$D,MATCH(B101,INVENTARIO!$A:$A,0)),""))</f>
        <v/>
      </c>
      <c r="F101" s="10" t="n"/>
      <c r="G101" s="9">
        <f>IF(B101="","",IFERROR(INDEX(INVENTARIO!$F:$F,MATCH(B101,INVENTARIO!$A:$A,0)),""))</f>
        <v/>
      </c>
      <c r="H101" s="19">
        <f>IF(B101="","",G101*F101)</f>
        <v/>
      </c>
      <c r="I101" s="5" t="n"/>
    </row>
    <row r="102">
      <c r="A102" s="18" t="n"/>
      <c r="B102" s="5" t="n"/>
      <c r="C102" s="2">
        <f>IF(B102="","",IFERROR(INDEX(INVENTARIO!$B:$B,MATCH(B102,INVENTARIO!$A:$A,0)),"No encontrado"))</f>
        <v/>
      </c>
      <c r="D102" s="2">
        <f>IF(B102="","",IFERROR(INDEX(INVENTARIO!$C:$C,MATCH(B102,INVENTARIO!$A:$A,0)),""))</f>
        <v/>
      </c>
      <c r="E102" s="2">
        <f>IF(B102="","",IFERROR(INDEX(INVENTARIO!$D:$D,MATCH(B102,INVENTARIO!$A:$A,0)),""))</f>
        <v/>
      </c>
      <c r="F102" s="10" t="n"/>
      <c r="G102" s="9">
        <f>IF(B102="","",IFERROR(INDEX(INVENTARIO!$F:$F,MATCH(B102,INVENTARIO!$A:$A,0)),""))</f>
        <v/>
      </c>
      <c r="H102" s="19">
        <f>IF(B102="","",G102*F102)</f>
        <v/>
      </c>
      <c r="I102" s="5" t="n"/>
    </row>
    <row r="103">
      <c r="A103" s="18" t="n"/>
      <c r="B103" s="5" t="n"/>
      <c r="C103" s="2">
        <f>IF(B103="","",IFERROR(INDEX(INVENTARIO!$B:$B,MATCH(B103,INVENTARIO!$A:$A,0)),"No encontrado"))</f>
        <v/>
      </c>
      <c r="D103" s="2">
        <f>IF(B103="","",IFERROR(INDEX(INVENTARIO!$C:$C,MATCH(B103,INVENTARIO!$A:$A,0)),""))</f>
        <v/>
      </c>
      <c r="E103" s="2">
        <f>IF(B103="","",IFERROR(INDEX(INVENTARIO!$D:$D,MATCH(B103,INVENTARIO!$A:$A,0)),""))</f>
        <v/>
      </c>
      <c r="F103" s="10" t="n"/>
      <c r="G103" s="9">
        <f>IF(B103="","",IFERROR(INDEX(INVENTARIO!$F:$F,MATCH(B103,INVENTARIO!$A:$A,0)),""))</f>
        <v/>
      </c>
      <c r="H103" s="19">
        <f>IF(B103="","",G103*F103)</f>
        <v/>
      </c>
      <c r="I103" s="5" t="n"/>
    </row>
    <row r="104">
      <c r="A104" s="18" t="n"/>
      <c r="B104" s="5" t="n"/>
      <c r="C104" s="2">
        <f>IF(B104="","",IFERROR(INDEX(INVENTARIO!$B:$B,MATCH(B104,INVENTARIO!$A:$A,0)),"No encontrado"))</f>
        <v/>
      </c>
      <c r="D104" s="2">
        <f>IF(B104="","",IFERROR(INDEX(INVENTARIO!$C:$C,MATCH(B104,INVENTARIO!$A:$A,0)),""))</f>
        <v/>
      </c>
      <c r="E104" s="2">
        <f>IF(B104="","",IFERROR(INDEX(INVENTARIO!$D:$D,MATCH(B104,INVENTARIO!$A:$A,0)),""))</f>
        <v/>
      </c>
      <c r="F104" s="10" t="n"/>
      <c r="G104" s="9">
        <f>IF(B104="","",IFERROR(INDEX(INVENTARIO!$F:$F,MATCH(B104,INVENTARIO!$A:$A,0)),""))</f>
        <v/>
      </c>
      <c r="H104" s="19">
        <f>IF(B104="","",G104*F104)</f>
        <v/>
      </c>
      <c r="I104" s="5" t="n"/>
    </row>
    <row r="105">
      <c r="A105" s="18" t="n"/>
      <c r="B105" s="5" t="n"/>
      <c r="C105" s="2">
        <f>IF(B105="","",IFERROR(INDEX(INVENTARIO!$B:$B,MATCH(B105,INVENTARIO!$A:$A,0)),"No encontrado"))</f>
        <v/>
      </c>
      <c r="D105" s="2">
        <f>IF(B105="","",IFERROR(INDEX(INVENTARIO!$C:$C,MATCH(B105,INVENTARIO!$A:$A,0)),""))</f>
        <v/>
      </c>
      <c r="E105" s="2">
        <f>IF(B105="","",IFERROR(INDEX(INVENTARIO!$D:$D,MATCH(B105,INVENTARIO!$A:$A,0)),""))</f>
        <v/>
      </c>
      <c r="F105" s="10" t="n"/>
      <c r="G105" s="9">
        <f>IF(B105="","",IFERROR(INDEX(INVENTARIO!$F:$F,MATCH(B105,INVENTARIO!$A:$A,0)),""))</f>
        <v/>
      </c>
      <c r="H105" s="19">
        <f>IF(B105="","",G105*F105)</f>
        <v/>
      </c>
      <c r="I105" s="5" t="n"/>
    </row>
    <row r="106">
      <c r="A106" s="18" t="n"/>
      <c r="B106" s="5" t="n"/>
      <c r="C106" s="2">
        <f>IF(B106="","",IFERROR(INDEX(INVENTARIO!$B:$B,MATCH(B106,INVENTARIO!$A:$A,0)),"No encontrado"))</f>
        <v/>
      </c>
      <c r="D106" s="2">
        <f>IF(B106="","",IFERROR(INDEX(INVENTARIO!$C:$C,MATCH(B106,INVENTARIO!$A:$A,0)),""))</f>
        <v/>
      </c>
      <c r="E106" s="2">
        <f>IF(B106="","",IFERROR(INDEX(INVENTARIO!$D:$D,MATCH(B106,INVENTARIO!$A:$A,0)),""))</f>
        <v/>
      </c>
      <c r="F106" s="10" t="n"/>
      <c r="G106" s="9">
        <f>IF(B106="","",IFERROR(INDEX(INVENTARIO!$F:$F,MATCH(B106,INVENTARIO!$A:$A,0)),""))</f>
        <v/>
      </c>
      <c r="H106" s="19">
        <f>IF(B106="","",G106*F106)</f>
        <v/>
      </c>
      <c r="I106" s="5" t="n"/>
    </row>
    <row r="107">
      <c r="A107" s="18" t="n"/>
      <c r="B107" s="5" t="n"/>
      <c r="C107" s="2">
        <f>IF(B107="","",IFERROR(INDEX(INVENTARIO!$B:$B,MATCH(B107,INVENTARIO!$A:$A,0)),"No encontrado"))</f>
        <v/>
      </c>
      <c r="D107" s="2">
        <f>IF(B107="","",IFERROR(INDEX(INVENTARIO!$C:$C,MATCH(B107,INVENTARIO!$A:$A,0)),""))</f>
        <v/>
      </c>
      <c r="E107" s="2">
        <f>IF(B107="","",IFERROR(INDEX(INVENTARIO!$D:$D,MATCH(B107,INVENTARIO!$A:$A,0)),""))</f>
        <v/>
      </c>
      <c r="F107" s="10" t="n"/>
      <c r="G107" s="9">
        <f>IF(B107="","",IFERROR(INDEX(INVENTARIO!$F:$F,MATCH(B107,INVENTARIO!$A:$A,0)),""))</f>
        <v/>
      </c>
      <c r="H107" s="19">
        <f>IF(B107="","",G107*F107)</f>
        <v/>
      </c>
      <c r="I107" s="5" t="n"/>
    </row>
    <row r="108">
      <c r="A108" s="18" t="n"/>
      <c r="B108" s="5" t="n"/>
      <c r="C108" s="2">
        <f>IF(B108="","",IFERROR(INDEX(INVENTARIO!$B:$B,MATCH(B108,INVENTARIO!$A:$A,0)),"No encontrado"))</f>
        <v/>
      </c>
      <c r="D108" s="2">
        <f>IF(B108="","",IFERROR(INDEX(INVENTARIO!$C:$C,MATCH(B108,INVENTARIO!$A:$A,0)),""))</f>
        <v/>
      </c>
      <c r="E108" s="2">
        <f>IF(B108="","",IFERROR(INDEX(INVENTARIO!$D:$D,MATCH(B108,INVENTARIO!$A:$A,0)),""))</f>
        <v/>
      </c>
      <c r="F108" s="10" t="n"/>
      <c r="G108" s="9">
        <f>IF(B108="","",IFERROR(INDEX(INVENTARIO!$F:$F,MATCH(B108,INVENTARIO!$A:$A,0)),""))</f>
        <v/>
      </c>
      <c r="H108" s="19">
        <f>IF(B108="","",G108*F108)</f>
        <v/>
      </c>
      <c r="I108" s="5" t="n"/>
    </row>
    <row r="109">
      <c r="A109" s="18" t="n"/>
      <c r="B109" s="5" t="n"/>
      <c r="C109" s="2">
        <f>IF(B109="","",IFERROR(INDEX(INVENTARIO!$B:$B,MATCH(B109,INVENTARIO!$A:$A,0)),"No encontrado"))</f>
        <v/>
      </c>
      <c r="D109" s="2">
        <f>IF(B109="","",IFERROR(INDEX(INVENTARIO!$C:$C,MATCH(B109,INVENTARIO!$A:$A,0)),""))</f>
        <v/>
      </c>
      <c r="E109" s="2">
        <f>IF(B109="","",IFERROR(INDEX(INVENTARIO!$D:$D,MATCH(B109,INVENTARIO!$A:$A,0)),""))</f>
        <v/>
      </c>
      <c r="F109" s="10" t="n"/>
      <c r="G109" s="9">
        <f>IF(B109="","",IFERROR(INDEX(INVENTARIO!$F:$F,MATCH(B109,INVENTARIO!$A:$A,0)),""))</f>
        <v/>
      </c>
      <c r="H109" s="19">
        <f>IF(B109="","",G109*F109)</f>
        <v/>
      </c>
      <c r="I109" s="5" t="n"/>
    </row>
    <row r="110">
      <c r="A110" s="18" t="n"/>
      <c r="B110" s="5" t="n"/>
      <c r="C110" s="2">
        <f>IF(B110="","",IFERROR(INDEX(INVENTARIO!$B:$B,MATCH(B110,INVENTARIO!$A:$A,0)),"No encontrado"))</f>
        <v/>
      </c>
      <c r="D110" s="2">
        <f>IF(B110="","",IFERROR(INDEX(INVENTARIO!$C:$C,MATCH(B110,INVENTARIO!$A:$A,0)),""))</f>
        <v/>
      </c>
      <c r="E110" s="2">
        <f>IF(B110="","",IFERROR(INDEX(INVENTARIO!$D:$D,MATCH(B110,INVENTARIO!$A:$A,0)),""))</f>
        <v/>
      </c>
      <c r="F110" s="10" t="n"/>
      <c r="G110" s="9">
        <f>IF(B110="","",IFERROR(INDEX(INVENTARIO!$F:$F,MATCH(B110,INVENTARIO!$A:$A,0)),""))</f>
        <v/>
      </c>
      <c r="H110" s="19">
        <f>IF(B110="","",G110*F110)</f>
        <v/>
      </c>
      <c r="I110" s="5" t="n"/>
    </row>
    <row r="111">
      <c r="A111" s="18" t="n"/>
      <c r="B111" s="5" t="n"/>
      <c r="C111" s="2">
        <f>IF(B111="","",IFERROR(INDEX(INVENTARIO!$B:$B,MATCH(B111,INVENTARIO!$A:$A,0)),"No encontrado"))</f>
        <v/>
      </c>
      <c r="D111" s="2">
        <f>IF(B111="","",IFERROR(INDEX(INVENTARIO!$C:$C,MATCH(B111,INVENTARIO!$A:$A,0)),""))</f>
        <v/>
      </c>
      <c r="E111" s="2">
        <f>IF(B111="","",IFERROR(INDEX(INVENTARIO!$D:$D,MATCH(B111,INVENTARIO!$A:$A,0)),""))</f>
        <v/>
      </c>
      <c r="F111" s="10" t="n"/>
      <c r="G111" s="9">
        <f>IF(B111="","",IFERROR(INDEX(INVENTARIO!$F:$F,MATCH(B111,INVENTARIO!$A:$A,0)),""))</f>
        <v/>
      </c>
      <c r="H111" s="19">
        <f>IF(B111="","",G111*F111)</f>
        <v/>
      </c>
      <c r="I111" s="5" t="n"/>
    </row>
    <row r="112">
      <c r="A112" s="18" t="n"/>
      <c r="B112" s="5" t="n"/>
      <c r="C112" s="2">
        <f>IF(B112="","",IFERROR(INDEX(INVENTARIO!$B:$B,MATCH(B112,INVENTARIO!$A:$A,0)),"No encontrado"))</f>
        <v/>
      </c>
      <c r="D112" s="2">
        <f>IF(B112="","",IFERROR(INDEX(INVENTARIO!$C:$C,MATCH(B112,INVENTARIO!$A:$A,0)),""))</f>
        <v/>
      </c>
      <c r="E112" s="2">
        <f>IF(B112="","",IFERROR(INDEX(INVENTARIO!$D:$D,MATCH(B112,INVENTARIO!$A:$A,0)),""))</f>
        <v/>
      </c>
      <c r="F112" s="10" t="n"/>
      <c r="G112" s="9">
        <f>IF(B112="","",IFERROR(INDEX(INVENTARIO!$F:$F,MATCH(B112,INVENTARIO!$A:$A,0)),""))</f>
        <v/>
      </c>
      <c r="H112" s="19">
        <f>IF(B112="","",G112*F112)</f>
        <v/>
      </c>
      <c r="I112" s="5" t="n"/>
    </row>
    <row r="113">
      <c r="A113" s="18" t="n"/>
      <c r="B113" s="5" t="n"/>
      <c r="C113" s="2">
        <f>IF(B113="","",IFERROR(INDEX(INVENTARIO!$B:$B,MATCH(B113,INVENTARIO!$A:$A,0)),"No encontrado"))</f>
        <v/>
      </c>
      <c r="D113" s="2">
        <f>IF(B113="","",IFERROR(INDEX(INVENTARIO!$C:$C,MATCH(B113,INVENTARIO!$A:$A,0)),""))</f>
        <v/>
      </c>
      <c r="E113" s="2">
        <f>IF(B113="","",IFERROR(INDEX(INVENTARIO!$D:$D,MATCH(B113,INVENTARIO!$A:$A,0)),""))</f>
        <v/>
      </c>
      <c r="F113" s="10" t="n"/>
      <c r="G113" s="9">
        <f>IF(B113="","",IFERROR(INDEX(INVENTARIO!$F:$F,MATCH(B113,INVENTARIO!$A:$A,0)),""))</f>
        <v/>
      </c>
      <c r="H113" s="19">
        <f>IF(B113="","",G113*F113)</f>
        <v/>
      </c>
      <c r="I113" s="5" t="n"/>
    </row>
    <row r="114">
      <c r="A114" s="18" t="n"/>
      <c r="B114" s="5" t="n"/>
      <c r="C114" s="2">
        <f>IF(B114="","",IFERROR(INDEX(INVENTARIO!$B:$B,MATCH(B114,INVENTARIO!$A:$A,0)),"No encontrado"))</f>
        <v/>
      </c>
      <c r="D114" s="2">
        <f>IF(B114="","",IFERROR(INDEX(INVENTARIO!$C:$C,MATCH(B114,INVENTARIO!$A:$A,0)),""))</f>
        <v/>
      </c>
      <c r="E114" s="2">
        <f>IF(B114="","",IFERROR(INDEX(INVENTARIO!$D:$D,MATCH(B114,INVENTARIO!$A:$A,0)),""))</f>
        <v/>
      </c>
      <c r="F114" s="10" t="n"/>
      <c r="G114" s="9">
        <f>IF(B114="","",IFERROR(INDEX(INVENTARIO!$F:$F,MATCH(B114,INVENTARIO!$A:$A,0)),""))</f>
        <v/>
      </c>
      <c r="H114" s="19">
        <f>IF(B114="","",G114*F114)</f>
        <v/>
      </c>
      <c r="I114" s="5" t="n"/>
    </row>
    <row r="115">
      <c r="A115" s="18" t="n"/>
      <c r="B115" s="5" t="n"/>
      <c r="C115" s="2">
        <f>IF(B115="","",IFERROR(INDEX(INVENTARIO!$B:$B,MATCH(B115,INVENTARIO!$A:$A,0)),"No encontrado"))</f>
        <v/>
      </c>
      <c r="D115" s="2">
        <f>IF(B115="","",IFERROR(INDEX(INVENTARIO!$C:$C,MATCH(B115,INVENTARIO!$A:$A,0)),""))</f>
        <v/>
      </c>
      <c r="E115" s="2">
        <f>IF(B115="","",IFERROR(INDEX(INVENTARIO!$D:$D,MATCH(B115,INVENTARIO!$A:$A,0)),""))</f>
        <v/>
      </c>
      <c r="F115" s="10" t="n"/>
      <c r="G115" s="9">
        <f>IF(B115="","",IFERROR(INDEX(INVENTARIO!$F:$F,MATCH(B115,INVENTARIO!$A:$A,0)),""))</f>
        <v/>
      </c>
      <c r="H115" s="19">
        <f>IF(B115="","",G115*F115)</f>
        <v/>
      </c>
      <c r="I115" s="5" t="n"/>
    </row>
    <row r="116">
      <c r="A116" s="18" t="n"/>
      <c r="B116" s="5" t="n"/>
      <c r="C116" s="2">
        <f>IF(B116="","",IFERROR(INDEX(INVENTARIO!$B:$B,MATCH(B116,INVENTARIO!$A:$A,0)),"No encontrado"))</f>
        <v/>
      </c>
      <c r="D116" s="2">
        <f>IF(B116="","",IFERROR(INDEX(INVENTARIO!$C:$C,MATCH(B116,INVENTARIO!$A:$A,0)),""))</f>
        <v/>
      </c>
      <c r="E116" s="2">
        <f>IF(B116="","",IFERROR(INDEX(INVENTARIO!$D:$D,MATCH(B116,INVENTARIO!$A:$A,0)),""))</f>
        <v/>
      </c>
      <c r="F116" s="10" t="n"/>
      <c r="G116" s="9">
        <f>IF(B116="","",IFERROR(INDEX(INVENTARIO!$F:$F,MATCH(B116,INVENTARIO!$A:$A,0)),""))</f>
        <v/>
      </c>
      <c r="H116" s="19">
        <f>IF(B116="","",G116*F116)</f>
        <v/>
      </c>
      <c r="I116" s="5" t="n"/>
    </row>
    <row r="117">
      <c r="A117" s="18" t="n"/>
      <c r="B117" s="5" t="n"/>
      <c r="C117" s="2">
        <f>IF(B117="","",IFERROR(INDEX(INVENTARIO!$B:$B,MATCH(B117,INVENTARIO!$A:$A,0)),"No encontrado"))</f>
        <v/>
      </c>
      <c r="D117" s="2">
        <f>IF(B117="","",IFERROR(INDEX(INVENTARIO!$C:$C,MATCH(B117,INVENTARIO!$A:$A,0)),""))</f>
        <v/>
      </c>
      <c r="E117" s="2">
        <f>IF(B117="","",IFERROR(INDEX(INVENTARIO!$D:$D,MATCH(B117,INVENTARIO!$A:$A,0)),""))</f>
        <v/>
      </c>
      <c r="F117" s="10" t="n"/>
      <c r="G117" s="9">
        <f>IF(B117="","",IFERROR(INDEX(INVENTARIO!$F:$F,MATCH(B117,INVENTARIO!$A:$A,0)),""))</f>
        <v/>
      </c>
      <c r="H117" s="19">
        <f>IF(B117="","",G117*F117)</f>
        <v/>
      </c>
      <c r="I117" s="5" t="n"/>
    </row>
    <row r="118">
      <c r="A118" s="18" t="n"/>
      <c r="B118" s="5" t="n"/>
      <c r="C118" s="2">
        <f>IF(B118="","",IFERROR(INDEX(INVENTARIO!$B:$B,MATCH(B118,INVENTARIO!$A:$A,0)),"No encontrado"))</f>
        <v/>
      </c>
      <c r="D118" s="2">
        <f>IF(B118="","",IFERROR(INDEX(INVENTARIO!$C:$C,MATCH(B118,INVENTARIO!$A:$A,0)),""))</f>
        <v/>
      </c>
      <c r="E118" s="2">
        <f>IF(B118="","",IFERROR(INDEX(INVENTARIO!$D:$D,MATCH(B118,INVENTARIO!$A:$A,0)),""))</f>
        <v/>
      </c>
      <c r="F118" s="10" t="n"/>
      <c r="G118" s="9">
        <f>IF(B118="","",IFERROR(INDEX(INVENTARIO!$F:$F,MATCH(B118,INVENTARIO!$A:$A,0)),""))</f>
        <v/>
      </c>
      <c r="H118" s="19">
        <f>IF(B118="","",G118*F118)</f>
        <v/>
      </c>
      <c r="I118" s="5" t="n"/>
    </row>
    <row r="119">
      <c r="A119" s="18" t="n"/>
      <c r="B119" s="5" t="n"/>
      <c r="C119" s="2">
        <f>IF(B119="","",IFERROR(INDEX(INVENTARIO!$B:$B,MATCH(B119,INVENTARIO!$A:$A,0)),"No encontrado"))</f>
        <v/>
      </c>
      <c r="D119" s="2">
        <f>IF(B119="","",IFERROR(INDEX(INVENTARIO!$C:$C,MATCH(B119,INVENTARIO!$A:$A,0)),""))</f>
        <v/>
      </c>
      <c r="E119" s="2">
        <f>IF(B119="","",IFERROR(INDEX(INVENTARIO!$D:$D,MATCH(B119,INVENTARIO!$A:$A,0)),""))</f>
        <v/>
      </c>
      <c r="F119" s="10" t="n"/>
      <c r="G119" s="9">
        <f>IF(B119="","",IFERROR(INDEX(INVENTARIO!$F:$F,MATCH(B119,INVENTARIO!$A:$A,0)),""))</f>
        <v/>
      </c>
      <c r="H119" s="19">
        <f>IF(B119="","",G119*F119)</f>
        <v/>
      </c>
      <c r="I119" s="5" t="n"/>
    </row>
    <row r="120">
      <c r="A120" s="18" t="n"/>
      <c r="B120" s="5" t="n"/>
      <c r="C120" s="2">
        <f>IF(B120="","",IFERROR(INDEX(INVENTARIO!$B:$B,MATCH(B120,INVENTARIO!$A:$A,0)),"No encontrado"))</f>
        <v/>
      </c>
      <c r="D120" s="2">
        <f>IF(B120="","",IFERROR(INDEX(INVENTARIO!$C:$C,MATCH(B120,INVENTARIO!$A:$A,0)),""))</f>
        <v/>
      </c>
      <c r="E120" s="2">
        <f>IF(B120="","",IFERROR(INDEX(INVENTARIO!$D:$D,MATCH(B120,INVENTARIO!$A:$A,0)),""))</f>
        <v/>
      </c>
      <c r="F120" s="10" t="n"/>
      <c r="G120" s="9">
        <f>IF(B120="","",IFERROR(INDEX(INVENTARIO!$F:$F,MATCH(B120,INVENTARIO!$A:$A,0)),""))</f>
        <v/>
      </c>
      <c r="H120" s="19">
        <f>IF(B120="","",G120*F120)</f>
        <v/>
      </c>
      <c r="I120" s="5" t="n"/>
    </row>
    <row r="121">
      <c r="A121" s="18" t="n"/>
      <c r="B121" s="5" t="n"/>
      <c r="C121" s="2">
        <f>IF(B121="","",IFERROR(INDEX(INVENTARIO!$B:$B,MATCH(B121,INVENTARIO!$A:$A,0)),"No encontrado"))</f>
        <v/>
      </c>
      <c r="D121" s="2">
        <f>IF(B121="","",IFERROR(INDEX(INVENTARIO!$C:$C,MATCH(B121,INVENTARIO!$A:$A,0)),""))</f>
        <v/>
      </c>
      <c r="E121" s="2">
        <f>IF(B121="","",IFERROR(INDEX(INVENTARIO!$D:$D,MATCH(B121,INVENTARIO!$A:$A,0)),""))</f>
        <v/>
      </c>
      <c r="F121" s="10" t="n"/>
      <c r="G121" s="9">
        <f>IF(B121="","",IFERROR(INDEX(INVENTARIO!$F:$F,MATCH(B121,INVENTARIO!$A:$A,0)),""))</f>
        <v/>
      </c>
      <c r="H121" s="19">
        <f>IF(B121="","",G121*F121)</f>
        <v/>
      </c>
      <c r="I121" s="5" t="n"/>
    </row>
    <row r="122">
      <c r="A122" s="18" t="n"/>
      <c r="B122" s="5" t="n"/>
      <c r="C122" s="2">
        <f>IF(B122="","",IFERROR(INDEX(INVENTARIO!$B:$B,MATCH(B122,INVENTARIO!$A:$A,0)),"No encontrado"))</f>
        <v/>
      </c>
      <c r="D122" s="2">
        <f>IF(B122="","",IFERROR(INDEX(INVENTARIO!$C:$C,MATCH(B122,INVENTARIO!$A:$A,0)),""))</f>
        <v/>
      </c>
      <c r="E122" s="2">
        <f>IF(B122="","",IFERROR(INDEX(INVENTARIO!$D:$D,MATCH(B122,INVENTARIO!$A:$A,0)),""))</f>
        <v/>
      </c>
      <c r="F122" s="10" t="n"/>
      <c r="G122" s="9">
        <f>IF(B122="","",IFERROR(INDEX(INVENTARIO!$F:$F,MATCH(B122,INVENTARIO!$A:$A,0)),""))</f>
        <v/>
      </c>
      <c r="H122" s="19">
        <f>IF(B122="","",G122*F122)</f>
        <v/>
      </c>
      <c r="I122" s="5" t="n"/>
    </row>
    <row r="123">
      <c r="A123" s="18" t="n"/>
      <c r="B123" s="5" t="n"/>
      <c r="C123" s="2">
        <f>IF(B123="","",IFERROR(INDEX(INVENTARIO!$B:$B,MATCH(B123,INVENTARIO!$A:$A,0)),"No encontrado"))</f>
        <v/>
      </c>
      <c r="D123" s="2">
        <f>IF(B123="","",IFERROR(INDEX(INVENTARIO!$C:$C,MATCH(B123,INVENTARIO!$A:$A,0)),""))</f>
        <v/>
      </c>
      <c r="E123" s="2">
        <f>IF(B123="","",IFERROR(INDEX(INVENTARIO!$D:$D,MATCH(B123,INVENTARIO!$A:$A,0)),""))</f>
        <v/>
      </c>
      <c r="F123" s="10" t="n"/>
      <c r="G123" s="9">
        <f>IF(B123="","",IFERROR(INDEX(INVENTARIO!$F:$F,MATCH(B123,INVENTARIO!$A:$A,0)),""))</f>
        <v/>
      </c>
      <c r="H123" s="19">
        <f>IF(B123="","",G123*F123)</f>
        <v/>
      </c>
      <c r="I123" s="5" t="n"/>
    </row>
    <row r="124">
      <c r="A124" s="18" t="n"/>
      <c r="B124" s="5" t="n"/>
      <c r="C124" s="2">
        <f>IF(B124="","",IFERROR(INDEX(INVENTARIO!$B:$B,MATCH(B124,INVENTARIO!$A:$A,0)),"No encontrado"))</f>
        <v/>
      </c>
      <c r="D124" s="2">
        <f>IF(B124="","",IFERROR(INDEX(INVENTARIO!$C:$C,MATCH(B124,INVENTARIO!$A:$A,0)),""))</f>
        <v/>
      </c>
      <c r="E124" s="2">
        <f>IF(B124="","",IFERROR(INDEX(INVENTARIO!$D:$D,MATCH(B124,INVENTARIO!$A:$A,0)),""))</f>
        <v/>
      </c>
      <c r="F124" s="10" t="n"/>
      <c r="G124" s="9">
        <f>IF(B124="","",IFERROR(INDEX(INVENTARIO!$F:$F,MATCH(B124,INVENTARIO!$A:$A,0)),""))</f>
        <v/>
      </c>
      <c r="H124" s="19">
        <f>IF(B124="","",G124*F124)</f>
        <v/>
      </c>
      <c r="I124" s="5" t="n"/>
    </row>
    <row r="125">
      <c r="A125" s="18" t="n"/>
      <c r="B125" s="5" t="n"/>
      <c r="C125" s="2">
        <f>IF(B125="","",IFERROR(INDEX(INVENTARIO!$B:$B,MATCH(B125,INVENTARIO!$A:$A,0)),"No encontrado"))</f>
        <v/>
      </c>
      <c r="D125" s="2">
        <f>IF(B125="","",IFERROR(INDEX(INVENTARIO!$C:$C,MATCH(B125,INVENTARIO!$A:$A,0)),""))</f>
        <v/>
      </c>
      <c r="E125" s="2">
        <f>IF(B125="","",IFERROR(INDEX(INVENTARIO!$D:$D,MATCH(B125,INVENTARIO!$A:$A,0)),""))</f>
        <v/>
      </c>
      <c r="F125" s="10" t="n"/>
      <c r="G125" s="9">
        <f>IF(B125="","",IFERROR(INDEX(INVENTARIO!$F:$F,MATCH(B125,INVENTARIO!$A:$A,0)),""))</f>
        <v/>
      </c>
      <c r="H125" s="19">
        <f>IF(B125="","",G125*F125)</f>
        <v/>
      </c>
      <c r="I125" s="5" t="n"/>
    </row>
    <row r="126">
      <c r="A126" s="18" t="n"/>
      <c r="B126" s="5" t="n"/>
      <c r="C126" s="2">
        <f>IF(B126="","",IFERROR(INDEX(INVENTARIO!$B:$B,MATCH(B126,INVENTARIO!$A:$A,0)),"No encontrado"))</f>
        <v/>
      </c>
      <c r="D126" s="2">
        <f>IF(B126="","",IFERROR(INDEX(INVENTARIO!$C:$C,MATCH(B126,INVENTARIO!$A:$A,0)),""))</f>
        <v/>
      </c>
      <c r="E126" s="2">
        <f>IF(B126="","",IFERROR(INDEX(INVENTARIO!$D:$D,MATCH(B126,INVENTARIO!$A:$A,0)),""))</f>
        <v/>
      </c>
      <c r="F126" s="10" t="n"/>
      <c r="G126" s="9">
        <f>IF(B126="","",IFERROR(INDEX(INVENTARIO!$F:$F,MATCH(B126,INVENTARIO!$A:$A,0)),""))</f>
        <v/>
      </c>
      <c r="H126" s="19">
        <f>IF(B126="","",G126*F126)</f>
        <v/>
      </c>
      <c r="I126" s="5" t="n"/>
    </row>
    <row r="127">
      <c r="A127" s="18" t="n"/>
      <c r="B127" s="5" t="n"/>
      <c r="C127" s="2">
        <f>IF(B127="","",IFERROR(INDEX(INVENTARIO!$B:$B,MATCH(B127,INVENTARIO!$A:$A,0)),"No encontrado"))</f>
        <v/>
      </c>
      <c r="D127" s="2">
        <f>IF(B127="","",IFERROR(INDEX(INVENTARIO!$C:$C,MATCH(B127,INVENTARIO!$A:$A,0)),""))</f>
        <v/>
      </c>
      <c r="E127" s="2">
        <f>IF(B127="","",IFERROR(INDEX(INVENTARIO!$D:$D,MATCH(B127,INVENTARIO!$A:$A,0)),""))</f>
        <v/>
      </c>
      <c r="F127" s="10" t="n"/>
      <c r="G127" s="9">
        <f>IF(B127="","",IFERROR(INDEX(INVENTARIO!$F:$F,MATCH(B127,INVENTARIO!$A:$A,0)),""))</f>
        <v/>
      </c>
      <c r="H127" s="19">
        <f>IF(B127="","",G127*F127)</f>
        <v/>
      </c>
      <c r="I127" s="5" t="n"/>
    </row>
    <row r="128">
      <c r="A128" s="18" t="n"/>
      <c r="B128" s="5" t="n"/>
      <c r="C128" s="2">
        <f>IF(B128="","",IFERROR(INDEX(INVENTARIO!$B:$B,MATCH(B128,INVENTARIO!$A:$A,0)),"No encontrado"))</f>
        <v/>
      </c>
      <c r="D128" s="2">
        <f>IF(B128="","",IFERROR(INDEX(INVENTARIO!$C:$C,MATCH(B128,INVENTARIO!$A:$A,0)),""))</f>
        <v/>
      </c>
      <c r="E128" s="2">
        <f>IF(B128="","",IFERROR(INDEX(INVENTARIO!$D:$D,MATCH(B128,INVENTARIO!$A:$A,0)),""))</f>
        <v/>
      </c>
      <c r="F128" s="10" t="n"/>
      <c r="G128" s="9">
        <f>IF(B128="","",IFERROR(INDEX(INVENTARIO!$F:$F,MATCH(B128,INVENTARIO!$A:$A,0)),""))</f>
        <v/>
      </c>
      <c r="H128" s="19">
        <f>IF(B128="","",G128*F128)</f>
        <v/>
      </c>
      <c r="I128" s="5" t="n"/>
    </row>
    <row r="129">
      <c r="A129" s="18" t="n"/>
      <c r="B129" s="5" t="n"/>
      <c r="C129" s="2">
        <f>IF(B129="","",IFERROR(INDEX(INVENTARIO!$B:$B,MATCH(B129,INVENTARIO!$A:$A,0)),"No encontrado"))</f>
        <v/>
      </c>
      <c r="D129" s="2">
        <f>IF(B129="","",IFERROR(INDEX(INVENTARIO!$C:$C,MATCH(B129,INVENTARIO!$A:$A,0)),""))</f>
        <v/>
      </c>
      <c r="E129" s="2">
        <f>IF(B129="","",IFERROR(INDEX(INVENTARIO!$D:$D,MATCH(B129,INVENTARIO!$A:$A,0)),""))</f>
        <v/>
      </c>
      <c r="F129" s="10" t="n"/>
      <c r="G129" s="9">
        <f>IF(B129="","",IFERROR(INDEX(INVENTARIO!$F:$F,MATCH(B129,INVENTARIO!$A:$A,0)),""))</f>
        <v/>
      </c>
      <c r="H129" s="19">
        <f>IF(B129="","",G129*F129)</f>
        <v/>
      </c>
      <c r="I129" s="5" t="n"/>
    </row>
    <row r="130">
      <c r="A130" s="18" t="n"/>
      <c r="B130" s="5" t="n"/>
      <c r="C130" s="2">
        <f>IF(B130="","",IFERROR(INDEX(INVENTARIO!$B:$B,MATCH(B130,INVENTARIO!$A:$A,0)),"No encontrado"))</f>
        <v/>
      </c>
      <c r="D130" s="2">
        <f>IF(B130="","",IFERROR(INDEX(INVENTARIO!$C:$C,MATCH(B130,INVENTARIO!$A:$A,0)),""))</f>
        <v/>
      </c>
      <c r="E130" s="2">
        <f>IF(B130="","",IFERROR(INDEX(INVENTARIO!$D:$D,MATCH(B130,INVENTARIO!$A:$A,0)),""))</f>
        <v/>
      </c>
      <c r="F130" s="10" t="n"/>
      <c r="G130" s="9">
        <f>IF(B130="","",IFERROR(INDEX(INVENTARIO!$F:$F,MATCH(B130,INVENTARIO!$A:$A,0)),""))</f>
        <v/>
      </c>
      <c r="H130" s="19">
        <f>IF(B130="","",G130*F130)</f>
        <v/>
      </c>
      <c r="I130" s="5" t="n"/>
    </row>
    <row r="131">
      <c r="A131" s="18" t="n"/>
      <c r="B131" s="5" t="n"/>
      <c r="C131" s="2">
        <f>IF(B131="","",IFERROR(INDEX(INVENTARIO!$B:$B,MATCH(B131,INVENTARIO!$A:$A,0)),"No encontrado"))</f>
        <v/>
      </c>
      <c r="D131" s="2">
        <f>IF(B131="","",IFERROR(INDEX(INVENTARIO!$C:$C,MATCH(B131,INVENTARIO!$A:$A,0)),""))</f>
        <v/>
      </c>
      <c r="E131" s="2">
        <f>IF(B131="","",IFERROR(INDEX(INVENTARIO!$D:$D,MATCH(B131,INVENTARIO!$A:$A,0)),""))</f>
        <v/>
      </c>
      <c r="F131" s="10" t="n"/>
      <c r="G131" s="9">
        <f>IF(B131="","",IFERROR(INDEX(INVENTARIO!$F:$F,MATCH(B131,INVENTARIO!$A:$A,0)),""))</f>
        <v/>
      </c>
      <c r="H131" s="19">
        <f>IF(B131="","",G131*F131)</f>
        <v/>
      </c>
      <c r="I131" s="5" t="n"/>
    </row>
    <row r="132">
      <c r="A132" s="18" t="n"/>
      <c r="B132" s="5" t="n"/>
      <c r="C132" s="2">
        <f>IF(B132="","",IFERROR(INDEX(INVENTARIO!$B:$B,MATCH(B132,INVENTARIO!$A:$A,0)),"No encontrado"))</f>
        <v/>
      </c>
      <c r="D132" s="2">
        <f>IF(B132="","",IFERROR(INDEX(INVENTARIO!$C:$C,MATCH(B132,INVENTARIO!$A:$A,0)),""))</f>
        <v/>
      </c>
      <c r="E132" s="2">
        <f>IF(B132="","",IFERROR(INDEX(INVENTARIO!$D:$D,MATCH(B132,INVENTARIO!$A:$A,0)),""))</f>
        <v/>
      </c>
      <c r="F132" s="10" t="n"/>
      <c r="G132" s="9">
        <f>IF(B132="","",IFERROR(INDEX(INVENTARIO!$F:$F,MATCH(B132,INVENTARIO!$A:$A,0)),""))</f>
        <v/>
      </c>
      <c r="H132" s="19">
        <f>IF(B132="","",G132*F132)</f>
        <v/>
      </c>
      <c r="I132" s="5" t="n"/>
    </row>
    <row r="133">
      <c r="A133" s="18" t="n"/>
      <c r="B133" s="5" t="n"/>
      <c r="C133" s="2">
        <f>IF(B133="","",IFERROR(INDEX(INVENTARIO!$B:$B,MATCH(B133,INVENTARIO!$A:$A,0)),"No encontrado"))</f>
        <v/>
      </c>
      <c r="D133" s="2">
        <f>IF(B133="","",IFERROR(INDEX(INVENTARIO!$C:$C,MATCH(B133,INVENTARIO!$A:$A,0)),""))</f>
        <v/>
      </c>
      <c r="E133" s="2">
        <f>IF(B133="","",IFERROR(INDEX(INVENTARIO!$D:$D,MATCH(B133,INVENTARIO!$A:$A,0)),""))</f>
        <v/>
      </c>
      <c r="F133" s="10" t="n"/>
      <c r="G133" s="9">
        <f>IF(B133="","",IFERROR(INDEX(INVENTARIO!$F:$F,MATCH(B133,INVENTARIO!$A:$A,0)),""))</f>
        <v/>
      </c>
      <c r="H133" s="19">
        <f>IF(B133="","",G133*F133)</f>
        <v/>
      </c>
      <c r="I133" s="5" t="n"/>
    </row>
    <row r="134">
      <c r="A134" s="18" t="n"/>
      <c r="B134" s="5" t="n"/>
      <c r="C134" s="2">
        <f>IF(B134="","",IFERROR(INDEX(INVENTARIO!$B:$B,MATCH(B134,INVENTARIO!$A:$A,0)),"No encontrado"))</f>
        <v/>
      </c>
      <c r="D134" s="2">
        <f>IF(B134="","",IFERROR(INDEX(INVENTARIO!$C:$C,MATCH(B134,INVENTARIO!$A:$A,0)),""))</f>
        <v/>
      </c>
      <c r="E134" s="2">
        <f>IF(B134="","",IFERROR(INDEX(INVENTARIO!$D:$D,MATCH(B134,INVENTARIO!$A:$A,0)),""))</f>
        <v/>
      </c>
      <c r="F134" s="10" t="n"/>
      <c r="G134" s="9">
        <f>IF(B134="","",IFERROR(INDEX(INVENTARIO!$F:$F,MATCH(B134,INVENTARIO!$A:$A,0)),""))</f>
        <v/>
      </c>
      <c r="H134" s="19">
        <f>IF(B134="","",G134*F134)</f>
        <v/>
      </c>
      <c r="I134" s="5" t="n"/>
    </row>
    <row r="135">
      <c r="A135" s="18" t="n"/>
      <c r="B135" s="5" t="n"/>
      <c r="C135" s="2">
        <f>IF(B135="","",IFERROR(INDEX(INVENTARIO!$B:$B,MATCH(B135,INVENTARIO!$A:$A,0)),"No encontrado"))</f>
        <v/>
      </c>
      <c r="D135" s="2">
        <f>IF(B135="","",IFERROR(INDEX(INVENTARIO!$C:$C,MATCH(B135,INVENTARIO!$A:$A,0)),""))</f>
        <v/>
      </c>
      <c r="E135" s="2">
        <f>IF(B135="","",IFERROR(INDEX(INVENTARIO!$D:$D,MATCH(B135,INVENTARIO!$A:$A,0)),""))</f>
        <v/>
      </c>
      <c r="F135" s="10" t="n"/>
      <c r="G135" s="9">
        <f>IF(B135="","",IFERROR(INDEX(INVENTARIO!$F:$F,MATCH(B135,INVENTARIO!$A:$A,0)),""))</f>
        <v/>
      </c>
      <c r="H135" s="19">
        <f>IF(B135="","",G135*F135)</f>
        <v/>
      </c>
      <c r="I135" s="5" t="n"/>
    </row>
    <row r="136">
      <c r="A136" s="18" t="n"/>
      <c r="B136" s="5" t="n"/>
      <c r="C136" s="2">
        <f>IF(B136="","",IFERROR(INDEX(INVENTARIO!$B:$B,MATCH(B136,INVENTARIO!$A:$A,0)),"No encontrado"))</f>
        <v/>
      </c>
      <c r="D136" s="2">
        <f>IF(B136="","",IFERROR(INDEX(INVENTARIO!$C:$C,MATCH(B136,INVENTARIO!$A:$A,0)),""))</f>
        <v/>
      </c>
      <c r="E136" s="2">
        <f>IF(B136="","",IFERROR(INDEX(INVENTARIO!$D:$D,MATCH(B136,INVENTARIO!$A:$A,0)),""))</f>
        <v/>
      </c>
      <c r="F136" s="10" t="n"/>
      <c r="G136" s="9">
        <f>IF(B136="","",IFERROR(INDEX(INVENTARIO!$F:$F,MATCH(B136,INVENTARIO!$A:$A,0)),""))</f>
        <v/>
      </c>
      <c r="H136" s="19">
        <f>IF(B136="","",G136*F136)</f>
        <v/>
      </c>
      <c r="I136" s="5" t="n"/>
    </row>
    <row r="137">
      <c r="A137" s="18" t="n"/>
      <c r="B137" s="5" t="n"/>
      <c r="C137" s="2">
        <f>IF(B137="","",IFERROR(INDEX(INVENTARIO!$B:$B,MATCH(B137,INVENTARIO!$A:$A,0)),"No encontrado"))</f>
        <v/>
      </c>
      <c r="D137" s="2">
        <f>IF(B137="","",IFERROR(INDEX(INVENTARIO!$C:$C,MATCH(B137,INVENTARIO!$A:$A,0)),""))</f>
        <v/>
      </c>
      <c r="E137" s="2">
        <f>IF(B137="","",IFERROR(INDEX(INVENTARIO!$D:$D,MATCH(B137,INVENTARIO!$A:$A,0)),""))</f>
        <v/>
      </c>
      <c r="F137" s="10" t="n"/>
      <c r="G137" s="9">
        <f>IF(B137="","",IFERROR(INDEX(INVENTARIO!$F:$F,MATCH(B137,INVENTARIO!$A:$A,0)),""))</f>
        <v/>
      </c>
      <c r="H137" s="19">
        <f>IF(B137="","",G137*F137)</f>
        <v/>
      </c>
      <c r="I137" s="5" t="n"/>
    </row>
    <row r="138">
      <c r="A138" s="18" t="n"/>
      <c r="B138" s="5" t="n"/>
      <c r="C138" s="2">
        <f>IF(B138="","",IFERROR(INDEX(INVENTARIO!$B:$B,MATCH(B138,INVENTARIO!$A:$A,0)),"No encontrado"))</f>
        <v/>
      </c>
      <c r="D138" s="2">
        <f>IF(B138="","",IFERROR(INDEX(INVENTARIO!$C:$C,MATCH(B138,INVENTARIO!$A:$A,0)),""))</f>
        <v/>
      </c>
      <c r="E138" s="2">
        <f>IF(B138="","",IFERROR(INDEX(INVENTARIO!$D:$D,MATCH(B138,INVENTARIO!$A:$A,0)),""))</f>
        <v/>
      </c>
      <c r="F138" s="10" t="n"/>
      <c r="G138" s="9">
        <f>IF(B138="","",IFERROR(INDEX(INVENTARIO!$F:$F,MATCH(B138,INVENTARIO!$A:$A,0)),""))</f>
        <v/>
      </c>
      <c r="H138" s="19">
        <f>IF(B138="","",G138*F138)</f>
        <v/>
      </c>
      <c r="I138" s="5" t="n"/>
    </row>
    <row r="139">
      <c r="A139" s="18" t="n"/>
      <c r="B139" s="5" t="n"/>
      <c r="C139" s="2">
        <f>IF(B139="","",IFERROR(INDEX(INVENTARIO!$B:$B,MATCH(B139,INVENTARIO!$A:$A,0)),"No encontrado"))</f>
        <v/>
      </c>
      <c r="D139" s="2">
        <f>IF(B139="","",IFERROR(INDEX(INVENTARIO!$C:$C,MATCH(B139,INVENTARIO!$A:$A,0)),""))</f>
        <v/>
      </c>
      <c r="E139" s="2">
        <f>IF(B139="","",IFERROR(INDEX(INVENTARIO!$D:$D,MATCH(B139,INVENTARIO!$A:$A,0)),""))</f>
        <v/>
      </c>
      <c r="F139" s="10" t="n"/>
      <c r="G139" s="9">
        <f>IF(B139="","",IFERROR(INDEX(INVENTARIO!$F:$F,MATCH(B139,INVENTARIO!$A:$A,0)),""))</f>
        <v/>
      </c>
      <c r="H139" s="19">
        <f>IF(B139="","",G139*F139)</f>
        <v/>
      </c>
      <c r="I139" s="5" t="n"/>
    </row>
    <row r="140">
      <c r="A140" s="18" t="n"/>
      <c r="B140" s="5" t="n"/>
      <c r="C140" s="2">
        <f>IF(B140="","",IFERROR(INDEX(INVENTARIO!$B:$B,MATCH(B140,INVENTARIO!$A:$A,0)),"No encontrado"))</f>
        <v/>
      </c>
      <c r="D140" s="2">
        <f>IF(B140="","",IFERROR(INDEX(INVENTARIO!$C:$C,MATCH(B140,INVENTARIO!$A:$A,0)),""))</f>
        <v/>
      </c>
      <c r="E140" s="2">
        <f>IF(B140="","",IFERROR(INDEX(INVENTARIO!$D:$D,MATCH(B140,INVENTARIO!$A:$A,0)),""))</f>
        <v/>
      </c>
      <c r="F140" s="10" t="n"/>
      <c r="G140" s="9">
        <f>IF(B140="","",IFERROR(INDEX(INVENTARIO!$F:$F,MATCH(B140,INVENTARIO!$A:$A,0)),""))</f>
        <v/>
      </c>
      <c r="H140" s="19">
        <f>IF(B140="","",G140*F140)</f>
        <v/>
      </c>
      <c r="I140" s="5" t="n"/>
    </row>
    <row r="141">
      <c r="A141" s="18" t="n"/>
      <c r="B141" s="5" t="n"/>
      <c r="C141" s="2">
        <f>IF(B141="","",IFERROR(INDEX(INVENTARIO!$B:$B,MATCH(B141,INVENTARIO!$A:$A,0)),"No encontrado"))</f>
        <v/>
      </c>
      <c r="D141" s="2">
        <f>IF(B141="","",IFERROR(INDEX(INVENTARIO!$C:$C,MATCH(B141,INVENTARIO!$A:$A,0)),""))</f>
        <v/>
      </c>
      <c r="E141" s="2">
        <f>IF(B141="","",IFERROR(INDEX(INVENTARIO!$D:$D,MATCH(B141,INVENTARIO!$A:$A,0)),""))</f>
        <v/>
      </c>
      <c r="F141" s="10" t="n"/>
      <c r="G141" s="9">
        <f>IF(B141="","",IFERROR(INDEX(INVENTARIO!$F:$F,MATCH(B141,INVENTARIO!$A:$A,0)),""))</f>
        <v/>
      </c>
      <c r="H141" s="19">
        <f>IF(B141="","",G141*F141)</f>
        <v/>
      </c>
      <c r="I141" s="5" t="n"/>
    </row>
    <row r="142">
      <c r="A142" s="18" t="n"/>
      <c r="B142" s="5" t="n"/>
      <c r="C142" s="2">
        <f>IF(B142="","",IFERROR(INDEX(INVENTARIO!$B:$B,MATCH(B142,INVENTARIO!$A:$A,0)),"No encontrado"))</f>
        <v/>
      </c>
      <c r="D142" s="2">
        <f>IF(B142="","",IFERROR(INDEX(INVENTARIO!$C:$C,MATCH(B142,INVENTARIO!$A:$A,0)),""))</f>
        <v/>
      </c>
      <c r="E142" s="2">
        <f>IF(B142="","",IFERROR(INDEX(INVENTARIO!$D:$D,MATCH(B142,INVENTARIO!$A:$A,0)),""))</f>
        <v/>
      </c>
      <c r="F142" s="10" t="n"/>
      <c r="G142" s="9">
        <f>IF(B142="","",IFERROR(INDEX(INVENTARIO!$F:$F,MATCH(B142,INVENTARIO!$A:$A,0)),""))</f>
        <v/>
      </c>
      <c r="H142" s="19">
        <f>IF(B142="","",G142*F142)</f>
        <v/>
      </c>
      <c r="I142" s="5" t="n"/>
    </row>
    <row r="143">
      <c r="A143" s="18" t="n"/>
      <c r="B143" s="5" t="n"/>
      <c r="C143" s="2">
        <f>IF(B143="","",IFERROR(INDEX(INVENTARIO!$B:$B,MATCH(B143,INVENTARIO!$A:$A,0)),"No encontrado"))</f>
        <v/>
      </c>
      <c r="D143" s="2">
        <f>IF(B143="","",IFERROR(INDEX(INVENTARIO!$C:$C,MATCH(B143,INVENTARIO!$A:$A,0)),""))</f>
        <v/>
      </c>
      <c r="E143" s="2">
        <f>IF(B143="","",IFERROR(INDEX(INVENTARIO!$D:$D,MATCH(B143,INVENTARIO!$A:$A,0)),""))</f>
        <v/>
      </c>
      <c r="F143" s="10" t="n"/>
      <c r="G143" s="9">
        <f>IF(B143="","",IFERROR(INDEX(INVENTARIO!$F:$F,MATCH(B143,INVENTARIO!$A:$A,0)),""))</f>
        <v/>
      </c>
      <c r="H143" s="19">
        <f>IF(B143="","",G143*F143)</f>
        <v/>
      </c>
      <c r="I143" s="5" t="n"/>
    </row>
    <row r="144">
      <c r="A144" s="18" t="n"/>
      <c r="B144" s="5" t="n"/>
      <c r="C144" s="2">
        <f>IF(B144="","",IFERROR(INDEX(INVENTARIO!$B:$B,MATCH(B144,INVENTARIO!$A:$A,0)),"No encontrado"))</f>
        <v/>
      </c>
      <c r="D144" s="2">
        <f>IF(B144="","",IFERROR(INDEX(INVENTARIO!$C:$C,MATCH(B144,INVENTARIO!$A:$A,0)),""))</f>
        <v/>
      </c>
      <c r="E144" s="2">
        <f>IF(B144="","",IFERROR(INDEX(INVENTARIO!$D:$D,MATCH(B144,INVENTARIO!$A:$A,0)),""))</f>
        <v/>
      </c>
      <c r="F144" s="10" t="n"/>
      <c r="G144" s="9">
        <f>IF(B144="","",IFERROR(INDEX(INVENTARIO!$F:$F,MATCH(B144,INVENTARIO!$A:$A,0)),""))</f>
        <v/>
      </c>
      <c r="H144" s="19">
        <f>IF(B144="","",G144*F144)</f>
        <v/>
      </c>
      <c r="I144" s="5" t="n"/>
    </row>
    <row r="145">
      <c r="A145" s="18" t="n"/>
      <c r="B145" s="5" t="n"/>
      <c r="C145" s="2">
        <f>IF(B145="","",IFERROR(INDEX(INVENTARIO!$B:$B,MATCH(B145,INVENTARIO!$A:$A,0)),"No encontrado"))</f>
        <v/>
      </c>
      <c r="D145" s="2">
        <f>IF(B145="","",IFERROR(INDEX(INVENTARIO!$C:$C,MATCH(B145,INVENTARIO!$A:$A,0)),""))</f>
        <v/>
      </c>
      <c r="E145" s="2">
        <f>IF(B145="","",IFERROR(INDEX(INVENTARIO!$D:$D,MATCH(B145,INVENTARIO!$A:$A,0)),""))</f>
        <v/>
      </c>
      <c r="F145" s="10" t="n"/>
      <c r="G145" s="9">
        <f>IF(B145="","",IFERROR(INDEX(INVENTARIO!$F:$F,MATCH(B145,INVENTARIO!$A:$A,0)),""))</f>
        <v/>
      </c>
      <c r="H145" s="19">
        <f>IF(B145="","",G145*F145)</f>
        <v/>
      </c>
      <c r="I145" s="5" t="n"/>
    </row>
    <row r="146">
      <c r="A146" s="18" t="n"/>
      <c r="B146" s="5" t="n"/>
      <c r="C146" s="2">
        <f>IF(B146="","",IFERROR(INDEX(INVENTARIO!$B:$B,MATCH(B146,INVENTARIO!$A:$A,0)),"No encontrado"))</f>
        <v/>
      </c>
      <c r="D146" s="2">
        <f>IF(B146="","",IFERROR(INDEX(INVENTARIO!$C:$C,MATCH(B146,INVENTARIO!$A:$A,0)),""))</f>
        <v/>
      </c>
      <c r="E146" s="2">
        <f>IF(B146="","",IFERROR(INDEX(INVENTARIO!$D:$D,MATCH(B146,INVENTARIO!$A:$A,0)),""))</f>
        <v/>
      </c>
      <c r="F146" s="10" t="n"/>
      <c r="G146" s="9">
        <f>IF(B146="","",IFERROR(INDEX(INVENTARIO!$F:$F,MATCH(B146,INVENTARIO!$A:$A,0)),""))</f>
        <v/>
      </c>
      <c r="H146" s="19">
        <f>IF(B146="","",G146*F146)</f>
        <v/>
      </c>
      <c r="I146" s="5" t="n"/>
    </row>
    <row r="147">
      <c r="A147" s="18" t="n"/>
      <c r="B147" s="5" t="n"/>
      <c r="C147" s="2">
        <f>IF(B147="","",IFERROR(INDEX(INVENTARIO!$B:$B,MATCH(B147,INVENTARIO!$A:$A,0)),"No encontrado"))</f>
        <v/>
      </c>
      <c r="D147" s="2">
        <f>IF(B147="","",IFERROR(INDEX(INVENTARIO!$C:$C,MATCH(B147,INVENTARIO!$A:$A,0)),""))</f>
        <v/>
      </c>
      <c r="E147" s="2">
        <f>IF(B147="","",IFERROR(INDEX(INVENTARIO!$D:$D,MATCH(B147,INVENTARIO!$A:$A,0)),""))</f>
        <v/>
      </c>
      <c r="F147" s="10" t="n"/>
      <c r="G147" s="9">
        <f>IF(B147="","",IFERROR(INDEX(INVENTARIO!$F:$F,MATCH(B147,INVENTARIO!$A:$A,0)),""))</f>
        <v/>
      </c>
      <c r="H147" s="19">
        <f>IF(B147="","",G147*F147)</f>
        <v/>
      </c>
      <c r="I147" s="5" t="n"/>
    </row>
    <row r="148">
      <c r="A148" s="18" t="n"/>
      <c r="B148" s="5" t="n"/>
      <c r="C148" s="2">
        <f>IF(B148="","",IFERROR(INDEX(INVENTARIO!$B:$B,MATCH(B148,INVENTARIO!$A:$A,0)),"No encontrado"))</f>
        <v/>
      </c>
      <c r="D148" s="2">
        <f>IF(B148="","",IFERROR(INDEX(INVENTARIO!$C:$C,MATCH(B148,INVENTARIO!$A:$A,0)),""))</f>
        <v/>
      </c>
      <c r="E148" s="2">
        <f>IF(B148="","",IFERROR(INDEX(INVENTARIO!$D:$D,MATCH(B148,INVENTARIO!$A:$A,0)),""))</f>
        <v/>
      </c>
      <c r="F148" s="10" t="n"/>
      <c r="G148" s="9">
        <f>IF(B148="","",IFERROR(INDEX(INVENTARIO!$F:$F,MATCH(B148,INVENTARIO!$A:$A,0)),""))</f>
        <v/>
      </c>
      <c r="H148" s="19">
        <f>IF(B148="","",G148*F148)</f>
        <v/>
      </c>
      <c r="I148" s="5" t="n"/>
    </row>
    <row r="149">
      <c r="A149" s="18" t="n"/>
      <c r="B149" s="5" t="n"/>
      <c r="C149" s="2">
        <f>IF(B149="","",IFERROR(INDEX(INVENTARIO!$B:$B,MATCH(B149,INVENTARIO!$A:$A,0)),"No encontrado"))</f>
        <v/>
      </c>
      <c r="D149" s="2">
        <f>IF(B149="","",IFERROR(INDEX(INVENTARIO!$C:$C,MATCH(B149,INVENTARIO!$A:$A,0)),""))</f>
        <v/>
      </c>
      <c r="E149" s="2">
        <f>IF(B149="","",IFERROR(INDEX(INVENTARIO!$D:$D,MATCH(B149,INVENTARIO!$A:$A,0)),""))</f>
        <v/>
      </c>
      <c r="F149" s="10" t="n"/>
      <c r="G149" s="9">
        <f>IF(B149="","",IFERROR(INDEX(INVENTARIO!$F:$F,MATCH(B149,INVENTARIO!$A:$A,0)),""))</f>
        <v/>
      </c>
      <c r="H149" s="19">
        <f>IF(B149="","",G149*F149)</f>
        <v/>
      </c>
      <c r="I149" s="5" t="n"/>
    </row>
    <row r="150">
      <c r="A150" s="18" t="n"/>
      <c r="B150" s="5" t="n"/>
      <c r="C150" s="2">
        <f>IF(B150="","",IFERROR(INDEX(INVENTARIO!$B:$B,MATCH(B150,INVENTARIO!$A:$A,0)),"No encontrado"))</f>
        <v/>
      </c>
      <c r="D150" s="2">
        <f>IF(B150="","",IFERROR(INDEX(INVENTARIO!$C:$C,MATCH(B150,INVENTARIO!$A:$A,0)),""))</f>
        <v/>
      </c>
      <c r="E150" s="2">
        <f>IF(B150="","",IFERROR(INDEX(INVENTARIO!$D:$D,MATCH(B150,INVENTARIO!$A:$A,0)),""))</f>
        <v/>
      </c>
      <c r="F150" s="10" t="n"/>
      <c r="G150" s="9">
        <f>IF(B150="","",IFERROR(INDEX(INVENTARIO!$F:$F,MATCH(B150,INVENTARIO!$A:$A,0)),""))</f>
        <v/>
      </c>
      <c r="H150" s="19">
        <f>IF(B150="","",G150*F150)</f>
        <v/>
      </c>
      <c r="I150" s="5" t="n"/>
    </row>
    <row r="151">
      <c r="A151" s="18" t="n"/>
      <c r="B151" s="5" t="n"/>
      <c r="C151" s="2">
        <f>IF(B151="","",IFERROR(INDEX(INVENTARIO!$B:$B,MATCH(B151,INVENTARIO!$A:$A,0)),"No encontrado"))</f>
        <v/>
      </c>
      <c r="D151" s="2">
        <f>IF(B151="","",IFERROR(INDEX(INVENTARIO!$C:$C,MATCH(B151,INVENTARIO!$A:$A,0)),""))</f>
        <v/>
      </c>
      <c r="E151" s="2">
        <f>IF(B151="","",IFERROR(INDEX(INVENTARIO!$D:$D,MATCH(B151,INVENTARIO!$A:$A,0)),""))</f>
        <v/>
      </c>
      <c r="F151" s="10" t="n"/>
      <c r="G151" s="9">
        <f>IF(B151="","",IFERROR(INDEX(INVENTARIO!$F:$F,MATCH(B151,INVENTARIO!$A:$A,0)),""))</f>
        <v/>
      </c>
      <c r="H151" s="19">
        <f>IF(B151="","",G151*F151)</f>
        <v/>
      </c>
      <c r="I151" s="5" t="n"/>
    </row>
    <row r="152">
      <c r="A152" s="18" t="n"/>
      <c r="B152" s="5" t="n"/>
      <c r="C152" s="2">
        <f>IF(B152="","",IFERROR(INDEX(INVENTARIO!$B:$B,MATCH(B152,INVENTARIO!$A:$A,0)),"No encontrado"))</f>
        <v/>
      </c>
      <c r="D152" s="2">
        <f>IF(B152="","",IFERROR(INDEX(INVENTARIO!$C:$C,MATCH(B152,INVENTARIO!$A:$A,0)),""))</f>
        <v/>
      </c>
      <c r="E152" s="2">
        <f>IF(B152="","",IFERROR(INDEX(INVENTARIO!$D:$D,MATCH(B152,INVENTARIO!$A:$A,0)),""))</f>
        <v/>
      </c>
      <c r="F152" s="10" t="n"/>
      <c r="G152" s="9">
        <f>IF(B152="","",IFERROR(INDEX(INVENTARIO!$F:$F,MATCH(B152,INVENTARIO!$A:$A,0)),""))</f>
        <v/>
      </c>
      <c r="H152" s="19">
        <f>IF(B152="","",G152*F152)</f>
        <v/>
      </c>
      <c r="I152" s="5" t="n"/>
    </row>
    <row r="153">
      <c r="A153" s="18" t="n"/>
      <c r="B153" s="5" t="n"/>
      <c r="C153" s="2">
        <f>IF(B153="","",IFERROR(INDEX(INVENTARIO!$B:$B,MATCH(B153,INVENTARIO!$A:$A,0)),"No encontrado"))</f>
        <v/>
      </c>
      <c r="D153" s="2">
        <f>IF(B153="","",IFERROR(INDEX(INVENTARIO!$C:$C,MATCH(B153,INVENTARIO!$A:$A,0)),""))</f>
        <v/>
      </c>
      <c r="E153" s="2">
        <f>IF(B153="","",IFERROR(INDEX(INVENTARIO!$D:$D,MATCH(B153,INVENTARIO!$A:$A,0)),""))</f>
        <v/>
      </c>
      <c r="F153" s="10" t="n"/>
      <c r="G153" s="9">
        <f>IF(B153="","",IFERROR(INDEX(INVENTARIO!$F:$F,MATCH(B153,INVENTARIO!$A:$A,0)),""))</f>
        <v/>
      </c>
      <c r="H153" s="19">
        <f>IF(B153="","",G153*F153)</f>
        <v/>
      </c>
      <c r="I153" s="5" t="n"/>
    </row>
    <row r="154">
      <c r="A154" s="18" t="n"/>
      <c r="B154" s="5" t="n"/>
      <c r="C154" s="2">
        <f>IF(B154="","",IFERROR(INDEX(INVENTARIO!$B:$B,MATCH(B154,INVENTARIO!$A:$A,0)),"No encontrado"))</f>
        <v/>
      </c>
      <c r="D154" s="2">
        <f>IF(B154="","",IFERROR(INDEX(INVENTARIO!$C:$C,MATCH(B154,INVENTARIO!$A:$A,0)),""))</f>
        <v/>
      </c>
      <c r="E154" s="2">
        <f>IF(B154="","",IFERROR(INDEX(INVENTARIO!$D:$D,MATCH(B154,INVENTARIO!$A:$A,0)),""))</f>
        <v/>
      </c>
      <c r="F154" s="10" t="n"/>
      <c r="G154" s="9">
        <f>IF(B154="","",IFERROR(INDEX(INVENTARIO!$F:$F,MATCH(B154,INVENTARIO!$A:$A,0)),""))</f>
        <v/>
      </c>
      <c r="H154" s="19">
        <f>IF(B154="","",G154*F154)</f>
        <v/>
      </c>
      <c r="I154" s="5" t="n"/>
    </row>
    <row r="155">
      <c r="A155" s="18" t="n"/>
      <c r="B155" s="5" t="n"/>
      <c r="C155" s="2">
        <f>IF(B155="","",IFERROR(INDEX(INVENTARIO!$B:$B,MATCH(B155,INVENTARIO!$A:$A,0)),"No encontrado"))</f>
        <v/>
      </c>
      <c r="D155" s="2">
        <f>IF(B155="","",IFERROR(INDEX(INVENTARIO!$C:$C,MATCH(B155,INVENTARIO!$A:$A,0)),""))</f>
        <v/>
      </c>
      <c r="E155" s="2">
        <f>IF(B155="","",IFERROR(INDEX(INVENTARIO!$D:$D,MATCH(B155,INVENTARIO!$A:$A,0)),""))</f>
        <v/>
      </c>
      <c r="F155" s="10" t="n"/>
      <c r="G155" s="9">
        <f>IF(B155="","",IFERROR(INDEX(INVENTARIO!$F:$F,MATCH(B155,INVENTARIO!$A:$A,0)),""))</f>
        <v/>
      </c>
      <c r="H155" s="19">
        <f>IF(B155="","",G155*F155)</f>
        <v/>
      </c>
      <c r="I155" s="5" t="n"/>
    </row>
    <row r="156">
      <c r="A156" s="18" t="n"/>
      <c r="B156" s="5" t="n"/>
      <c r="C156" s="2">
        <f>IF(B156="","",IFERROR(INDEX(INVENTARIO!$B:$B,MATCH(B156,INVENTARIO!$A:$A,0)),"No encontrado"))</f>
        <v/>
      </c>
      <c r="D156" s="2">
        <f>IF(B156="","",IFERROR(INDEX(INVENTARIO!$C:$C,MATCH(B156,INVENTARIO!$A:$A,0)),""))</f>
        <v/>
      </c>
      <c r="E156" s="2">
        <f>IF(B156="","",IFERROR(INDEX(INVENTARIO!$D:$D,MATCH(B156,INVENTARIO!$A:$A,0)),""))</f>
        <v/>
      </c>
      <c r="F156" s="10" t="n"/>
      <c r="G156" s="9">
        <f>IF(B156="","",IFERROR(INDEX(INVENTARIO!$F:$F,MATCH(B156,INVENTARIO!$A:$A,0)),""))</f>
        <v/>
      </c>
      <c r="H156" s="19">
        <f>IF(B156="","",G156*F156)</f>
        <v/>
      </c>
      <c r="I156" s="5" t="n"/>
    </row>
    <row r="157">
      <c r="A157" s="18" t="n"/>
      <c r="B157" s="5" t="n"/>
      <c r="C157" s="2">
        <f>IF(B157="","",IFERROR(INDEX(INVENTARIO!$B:$B,MATCH(B157,INVENTARIO!$A:$A,0)),"No encontrado"))</f>
        <v/>
      </c>
      <c r="D157" s="2">
        <f>IF(B157="","",IFERROR(INDEX(INVENTARIO!$C:$C,MATCH(B157,INVENTARIO!$A:$A,0)),""))</f>
        <v/>
      </c>
      <c r="E157" s="2">
        <f>IF(B157="","",IFERROR(INDEX(INVENTARIO!$D:$D,MATCH(B157,INVENTARIO!$A:$A,0)),""))</f>
        <v/>
      </c>
      <c r="F157" s="10" t="n"/>
      <c r="G157" s="9">
        <f>IF(B157="","",IFERROR(INDEX(INVENTARIO!$F:$F,MATCH(B157,INVENTARIO!$A:$A,0)),""))</f>
        <v/>
      </c>
      <c r="H157" s="19">
        <f>IF(B157="","",G157*F157)</f>
        <v/>
      </c>
      <c r="I157" s="5" t="n"/>
    </row>
    <row r="158">
      <c r="A158" s="18" t="n"/>
      <c r="B158" s="5" t="n"/>
      <c r="C158" s="2">
        <f>IF(B158="","",IFERROR(INDEX(INVENTARIO!$B:$B,MATCH(B158,INVENTARIO!$A:$A,0)),"No encontrado"))</f>
        <v/>
      </c>
      <c r="D158" s="2">
        <f>IF(B158="","",IFERROR(INDEX(INVENTARIO!$C:$C,MATCH(B158,INVENTARIO!$A:$A,0)),""))</f>
        <v/>
      </c>
      <c r="E158" s="2">
        <f>IF(B158="","",IFERROR(INDEX(INVENTARIO!$D:$D,MATCH(B158,INVENTARIO!$A:$A,0)),""))</f>
        <v/>
      </c>
      <c r="F158" s="10" t="n"/>
      <c r="G158" s="9">
        <f>IF(B158="","",IFERROR(INDEX(INVENTARIO!$F:$F,MATCH(B158,INVENTARIO!$A:$A,0)),""))</f>
        <v/>
      </c>
      <c r="H158" s="19">
        <f>IF(B158="","",G158*F158)</f>
        <v/>
      </c>
      <c r="I158" s="5" t="n"/>
    </row>
    <row r="159">
      <c r="A159" s="18" t="n"/>
      <c r="B159" s="5" t="n"/>
      <c r="C159" s="2">
        <f>IF(B159="","",IFERROR(INDEX(INVENTARIO!$B:$B,MATCH(B159,INVENTARIO!$A:$A,0)),"No encontrado"))</f>
        <v/>
      </c>
      <c r="D159" s="2">
        <f>IF(B159="","",IFERROR(INDEX(INVENTARIO!$C:$C,MATCH(B159,INVENTARIO!$A:$A,0)),""))</f>
        <v/>
      </c>
      <c r="E159" s="2">
        <f>IF(B159="","",IFERROR(INDEX(INVENTARIO!$D:$D,MATCH(B159,INVENTARIO!$A:$A,0)),""))</f>
        <v/>
      </c>
      <c r="F159" s="10" t="n"/>
      <c r="G159" s="9">
        <f>IF(B159="","",IFERROR(INDEX(INVENTARIO!$F:$F,MATCH(B159,INVENTARIO!$A:$A,0)),""))</f>
        <v/>
      </c>
      <c r="H159" s="19">
        <f>IF(B159="","",G159*F159)</f>
        <v/>
      </c>
      <c r="I159" s="5" t="n"/>
    </row>
    <row r="160">
      <c r="A160" s="18" t="n"/>
      <c r="B160" s="5" t="n"/>
      <c r="C160" s="2">
        <f>IF(B160="","",IFERROR(INDEX(INVENTARIO!$B:$B,MATCH(B160,INVENTARIO!$A:$A,0)),"No encontrado"))</f>
        <v/>
      </c>
      <c r="D160" s="2">
        <f>IF(B160="","",IFERROR(INDEX(INVENTARIO!$C:$C,MATCH(B160,INVENTARIO!$A:$A,0)),""))</f>
        <v/>
      </c>
      <c r="E160" s="2">
        <f>IF(B160="","",IFERROR(INDEX(INVENTARIO!$D:$D,MATCH(B160,INVENTARIO!$A:$A,0)),""))</f>
        <v/>
      </c>
      <c r="F160" s="10" t="n"/>
      <c r="G160" s="9">
        <f>IF(B160="","",IFERROR(INDEX(INVENTARIO!$F:$F,MATCH(B160,INVENTARIO!$A:$A,0)),""))</f>
        <v/>
      </c>
      <c r="H160" s="19">
        <f>IF(B160="","",G160*F160)</f>
        <v/>
      </c>
      <c r="I160" s="5" t="n"/>
    </row>
    <row r="161">
      <c r="A161" s="18" t="n"/>
      <c r="B161" s="5" t="n"/>
      <c r="C161" s="2">
        <f>IF(B161="","",IFERROR(INDEX(INVENTARIO!$B:$B,MATCH(B161,INVENTARIO!$A:$A,0)),"No encontrado"))</f>
        <v/>
      </c>
      <c r="D161" s="2">
        <f>IF(B161="","",IFERROR(INDEX(INVENTARIO!$C:$C,MATCH(B161,INVENTARIO!$A:$A,0)),""))</f>
        <v/>
      </c>
      <c r="E161" s="2">
        <f>IF(B161="","",IFERROR(INDEX(INVENTARIO!$D:$D,MATCH(B161,INVENTARIO!$A:$A,0)),""))</f>
        <v/>
      </c>
      <c r="F161" s="10" t="n"/>
      <c r="G161" s="9">
        <f>IF(B161="","",IFERROR(INDEX(INVENTARIO!$F:$F,MATCH(B161,INVENTARIO!$A:$A,0)),""))</f>
        <v/>
      </c>
      <c r="H161" s="19">
        <f>IF(B161="","",G161*F161)</f>
        <v/>
      </c>
      <c r="I161" s="5" t="n"/>
    </row>
    <row r="162">
      <c r="A162" s="18" t="n"/>
      <c r="B162" s="5" t="n"/>
      <c r="C162" s="2">
        <f>IF(B162="","",IFERROR(INDEX(INVENTARIO!$B:$B,MATCH(B162,INVENTARIO!$A:$A,0)),"No encontrado"))</f>
        <v/>
      </c>
      <c r="D162" s="2">
        <f>IF(B162="","",IFERROR(INDEX(INVENTARIO!$C:$C,MATCH(B162,INVENTARIO!$A:$A,0)),""))</f>
        <v/>
      </c>
      <c r="E162" s="2">
        <f>IF(B162="","",IFERROR(INDEX(INVENTARIO!$D:$D,MATCH(B162,INVENTARIO!$A:$A,0)),""))</f>
        <v/>
      </c>
      <c r="F162" s="10" t="n"/>
      <c r="G162" s="9">
        <f>IF(B162="","",IFERROR(INDEX(INVENTARIO!$F:$F,MATCH(B162,INVENTARIO!$A:$A,0)),""))</f>
        <v/>
      </c>
      <c r="H162" s="19">
        <f>IF(B162="","",G162*F162)</f>
        <v/>
      </c>
      <c r="I162" s="5" t="n"/>
    </row>
    <row r="163">
      <c r="A163" s="18" t="n"/>
      <c r="B163" s="5" t="n"/>
      <c r="C163" s="2">
        <f>IF(B163="","",IFERROR(INDEX(INVENTARIO!$B:$B,MATCH(B163,INVENTARIO!$A:$A,0)),"No encontrado"))</f>
        <v/>
      </c>
      <c r="D163" s="2">
        <f>IF(B163="","",IFERROR(INDEX(INVENTARIO!$C:$C,MATCH(B163,INVENTARIO!$A:$A,0)),""))</f>
        <v/>
      </c>
      <c r="E163" s="2">
        <f>IF(B163="","",IFERROR(INDEX(INVENTARIO!$D:$D,MATCH(B163,INVENTARIO!$A:$A,0)),""))</f>
        <v/>
      </c>
      <c r="F163" s="10" t="n"/>
      <c r="G163" s="9">
        <f>IF(B163="","",IFERROR(INDEX(INVENTARIO!$F:$F,MATCH(B163,INVENTARIO!$A:$A,0)),""))</f>
        <v/>
      </c>
      <c r="H163" s="19">
        <f>IF(B163="","",G163*F163)</f>
        <v/>
      </c>
      <c r="I163" s="5" t="n"/>
    </row>
    <row r="164">
      <c r="A164" s="18" t="n"/>
      <c r="B164" s="5" t="n"/>
      <c r="C164" s="2">
        <f>IF(B164="","",IFERROR(INDEX(INVENTARIO!$B:$B,MATCH(B164,INVENTARIO!$A:$A,0)),"No encontrado"))</f>
        <v/>
      </c>
      <c r="D164" s="2">
        <f>IF(B164="","",IFERROR(INDEX(INVENTARIO!$C:$C,MATCH(B164,INVENTARIO!$A:$A,0)),""))</f>
        <v/>
      </c>
      <c r="E164" s="2">
        <f>IF(B164="","",IFERROR(INDEX(INVENTARIO!$D:$D,MATCH(B164,INVENTARIO!$A:$A,0)),""))</f>
        <v/>
      </c>
      <c r="F164" s="10" t="n"/>
      <c r="G164" s="9">
        <f>IF(B164="","",IFERROR(INDEX(INVENTARIO!$F:$F,MATCH(B164,INVENTARIO!$A:$A,0)),""))</f>
        <v/>
      </c>
      <c r="H164" s="19">
        <f>IF(B164="","",G164*F164)</f>
        <v/>
      </c>
      <c r="I164" s="5" t="n"/>
    </row>
    <row r="165">
      <c r="A165" s="18" t="n"/>
      <c r="B165" s="5" t="n"/>
      <c r="C165" s="2">
        <f>IF(B165="","",IFERROR(INDEX(INVENTARIO!$B:$B,MATCH(B165,INVENTARIO!$A:$A,0)),"No encontrado"))</f>
        <v/>
      </c>
      <c r="D165" s="2">
        <f>IF(B165="","",IFERROR(INDEX(INVENTARIO!$C:$C,MATCH(B165,INVENTARIO!$A:$A,0)),""))</f>
        <v/>
      </c>
      <c r="E165" s="2">
        <f>IF(B165="","",IFERROR(INDEX(INVENTARIO!$D:$D,MATCH(B165,INVENTARIO!$A:$A,0)),""))</f>
        <v/>
      </c>
      <c r="F165" s="10" t="n"/>
      <c r="G165" s="9">
        <f>IF(B165="","",IFERROR(INDEX(INVENTARIO!$F:$F,MATCH(B165,INVENTARIO!$A:$A,0)),""))</f>
        <v/>
      </c>
      <c r="H165" s="19">
        <f>IF(B165="","",G165*F165)</f>
        <v/>
      </c>
      <c r="I165" s="5" t="n"/>
    </row>
    <row r="166">
      <c r="A166" s="18" t="n"/>
      <c r="B166" s="5" t="n"/>
      <c r="C166" s="2">
        <f>IF(B166="","",IFERROR(INDEX(INVENTARIO!$B:$B,MATCH(B166,INVENTARIO!$A:$A,0)),"No encontrado"))</f>
        <v/>
      </c>
      <c r="D166" s="2">
        <f>IF(B166="","",IFERROR(INDEX(INVENTARIO!$C:$C,MATCH(B166,INVENTARIO!$A:$A,0)),""))</f>
        <v/>
      </c>
      <c r="E166" s="2">
        <f>IF(B166="","",IFERROR(INDEX(INVENTARIO!$D:$D,MATCH(B166,INVENTARIO!$A:$A,0)),""))</f>
        <v/>
      </c>
      <c r="F166" s="10" t="n"/>
      <c r="G166" s="9">
        <f>IF(B166="","",IFERROR(INDEX(INVENTARIO!$F:$F,MATCH(B166,INVENTARIO!$A:$A,0)),""))</f>
        <v/>
      </c>
      <c r="H166" s="19">
        <f>IF(B166="","",G166*F166)</f>
        <v/>
      </c>
      <c r="I166" s="5" t="n"/>
    </row>
    <row r="167">
      <c r="A167" s="18" t="n"/>
      <c r="B167" s="5" t="n"/>
      <c r="C167" s="2">
        <f>IF(B167="","",IFERROR(INDEX(INVENTARIO!$B:$B,MATCH(B167,INVENTARIO!$A:$A,0)),"No encontrado"))</f>
        <v/>
      </c>
      <c r="D167" s="2">
        <f>IF(B167="","",IFERROR(INDEX(INVENTARIO!$C:$C,MATCH(B167,INVENTARIO!$A:$A,0)),""))</f>
        <v/>
      </c>
      <c r="E167" s="2">
        <f>IF(B167="","",IFERROR(INDEX(INVENTARIO!$D:$D,MATCH(B167,INVENTARIO!$A:$A,0)),""))</f>
        <v/>
      </c>
      <c r="F167" s="10" t="n"/>
      <c r="G167" s="9">
        <f>IF(B167="","",IFERROR(INDEX(INVENTARIO!$F:$F,MATCH(B167,INVENTARIO!$A:$A,0)),""))</f>
        <v/>
      </c>
      <c r="H167" s="19">
        <f>IF(B167="","",G167*F167)</f>
        <v/>
      </c>
      <c r="I167" s="5" t="n"/>
    </row>
    <row r="168">
      <c r="A168" s="18" t="n"/>
      <c r="B168" s="5" t="n"/>
      <c r="C168" s="2">
        <f>IF(B168="","",IFERROR(INDEX(INVENTARIO!$B:$B,MATCH(B168,INVENTARIO!$A:$A,0)),"No encontrado"))</f>
        <v/>
      </c>
      <c r="D168" s="2">
        <f>IF(B168="","",IFERROR(INDEX(INVENTARIO!$C:$C,MATCH(B168,INVENTARIO!$A:$A,0)),""))</f>
        <v/>
      </c>
      <c r="E168" s="2">
        <f>IF(B168="","",IFERROR(INDEX(INVENTARIO!$D:$D,MATCH(B168,INVENTARIO!$A:$A,0)),""))</f>
        <v/>
      </c>
      <c r="F168" s="10" t="n"/>
      <c r="G168" s="9">
        <f>IF(B168="","",IFERROR(INDEX(INVENTARIO!$F:$F,MATCH(B168,INVENTARIO!$A:$A,0)),""))</f>
        <v/>
      </c>
      <c r="H168" s="19">
        <f>IF(B168="","",G168*F168)</f>
        <v/>
      </c>
      <c r="I168" s="5" t="n"/>
    </row>
    <row r="169">
      <c r="A169" s="18" t="n"/>
      <c r="B169" s="5" t="n"/>
      <c r="C169" s="2">
        <f>IF(B169="","",IFERROR(INDEX(INVENTARIO!$B:$B,MATCH(B169,INVENTARIO!$A:$A,0)),"No encontrado"))</f>
        <v/>
      </c>
      <c r="D169" s="2">
        <f>IF(B169="","",IFERROR(INDEX(INVENTARIO!$C:$C,MATCH(B169,INVENTARIO!$A:$A,0)),""))</f>
        <v/>
      </c>
      <c r="E169" s="2">
        <f>IF(B169="","",IFERROR(INDEX(INVENTARIO!$D:$D,MATCH(B169,INVENTARIO!$A:$A,0)),""))</f>
        <v/>
      </c>
      <c r="F169" s="10" t="n"/>
      <c r="G169" s="9">
        <f>IF(B169="","",IFERROR(INDEX(INVENTARIO!$F:$F,MATCH(B169,INVENTARIO!$A:$A,0)),""))</f>
        <v/>
      </c>
      <c r="H169" s="19">
        <f>IF(B169="","",G169*F169)</f>
        <v/>
      </c>
      <c r="I169" s="5" t="n"/>
    </row>
    <row r="170">
      <c r="A170" s="18" t="n"/>
      <c r="B170" s="5" t="n"/>
      <c r="C170" s="2">
        <f>IF(B170="","",IFERROR(INDEX(INVENTARIO!$B:$B,MATCH(B170,INVENTARIO!$A:$A,0)),"No encontrado"))</f>
        <v/>
      </c>
      <c r="D170" s="2">
        <f>IF(B170="","",IFERROR(INDEX(INVENTARIO!$C:$C,MATCH(B170,INVENTARIO!$A:$A,0)),""))</f>
        <v/>
      </c>
      <c r="E170" s="2">
        <f>IF(B170="","",IFERROR(INDEX(INVENTARIO!$D:$D,MATCH(B170,INVENTARIO!$A:$A,0)),""))</f>
        <v/>
      </c>
      <c r="F170" s="10" t="n"/>
      <c r="G170" s="9">
        <f>IF(B170="","",IFERROR(INDEX(INVENTARIO!$F:$F,MATCH(B170,INVENTARIO!$A:$A,0)),""))</f>
        <v/>
      </c>
      <c r="H170" s="19">
        <f>IF(B170="","",G170*F170)</f>
        <v/>
      </c>
      <c r="I170" s="5" t="n"/>
    </row>
    <row r="171">
      <c r="A171" s="18" t="n"/>
      <c r="B171" s="5" t="n"/>
      <c r="C171" s="2">
        <f>IF(B171="","",IFERROR(INDEX(INVENTARIO!$B:$B,MATCH(B171,INVENTARIO!$A:$A,0)),"No encontrado"))</f>
        <v/>
      </c>
      <c r="D171" s="2">
        <f>IF(B171="","",IFERROR(INDEX(INVENTARIO!$C:$C,MATCH(B171,INVENTARIO!$A:$A,0)),""))</f>
        <v/>
      </c>
      <c r="E171" s="2">
        <f>IF(B171="","",IFERROR(INDEX(INVENTARIO!$D:$D,MATCH(B171,INVENTARIO!$A:$A,0)),""))</f>
        <v/>
      </c>
      <c r="F171" s="10" t="n"/>
      <c r="G171" s="9">
        <f>IF(B171="","",IFERROR(INDEX(INVENTARIO!$F:$F,MATCH(B171,INVENTARIO!$A:$A,0)),""))</f>
        <v/>
      </c>
      <c r="H171" s="19">
        <f>IF(B171="","",G171*F171)</f>
        <v/>
      </c>
      <c r="I171" s="5" t="n"/>
    </row>
    <row r="172">
      <c r="A172" s="18" t="n"/>
      <c r="B172" s="5" t="n"/>
      <c r="C172" s="2">
        <f>IF(B172="","",IFERROR(INDEX(INVENTARIO!$B:$B,MATCH(B172,INVENTARIO!$A:$A,0)),"No encontrado"))</f>
        <v/>
      </c>
      <c r="D172" s="2">
        <f>IF(B172="","",IFERROR(INDEX(INVENTARIO!$C:$C,MATCH(B172,INVENTARIO!$A:$A,0)),""))</f>
        <v/>
      </c>
      <c r="E172" s="2">
        <f>IF(B172="","",IFERROR(INDEX(INVENTARIO!$D:$D,MATCH(B172,INVENTARIO!$A:$A,0)),""))</f>
        <v/>
      </c>
      <c r="F172" s="10" t="n"/>
      <c r="G172" s="9">
        <f>IF(B172="","",IFERROR(INDEX(INVENTARIO!$F:$F,MATCH(B172,INVENTARIO!$A:$A,0)),""))</f>
        <v/>
      </c>
      <c r="H172" s="19">
        <f>IF(B172="","",G172*F172)</f>
        <v/>
      </c>
      <c r="I172" s="5" t="n"/>
    </row>
    <row r="173">
      <c r="A173" s="18" t="n"/>
      <c r="B173" s="5" t="n"/>
      <c r="C173" s="2">
        <f>IF(B173="","",IFERROR(INDEX(INVENTARIO!$B:$B,MATCH(B173,INVENTARIO!$A:$A,0)),"No encontrado"))</f>
        <v/>
      </c>
      <c r="D173" s="2">
        <f>IF(B173="","",IFERROR(INDEX(INVENTARIO!$C:$C,MATCH(B173,INVENTARIO!$A:$A,0)),""))</f>
        <v/>
      </c>
      <c r="E173" s="2">
        <f>IF(B173="","",IFERROR(INDEX(INVENTARIO!$D:$D,MATCH(B173,INVENTARIO!$A:$A,0)),""))</f>
        <v/>
      </c>
      <c r="F173" s="10" t="n"/>
      <c r="G173" s="9">
        <f>IF(B173="","",IFERROR(INDEX(INVENTARIO!$F:$F,MATCH(B173,INVENTARIO!$A:$A,0)),""))</f>
        <v/>
      </c>
      <c r="H173" s="19">
        <f>IF(B173="","",G173*F173)</f>
        <v/>
      </c>
      <c r="I173" s="5" t="n"/>
    </row>
    <row r="174">
      <c r="A174" s="18" t="n"/>
      <c r="B174" s="5" t="n"/>
      <c r="C174" s="2">
        <f>IF(B174="","",IFERROR(INDEX(INVENTARIO!$B:$B,MATCH(B174,INVENTARIO!$A:$A,0)),"No encontrado"))</f>
        <v/>
      </c>
      <c r="D174" s="2">
        <f>IF(B174="","",IFERROR(INDEX(INVENTARIO!$C:$C,MATCH(B174,INVENTARIO!$A:$A,0)),""))</f>
        <v/>
      </c>
      <c r="E174" s="2">
        <f>IF(B174="","",IFERROR(INDEX(INVENTARIO!$D:$D,MATCH(B174,INVENTARIO!$A:$A,0)),""))</f>
        <v/>
      </c>
      <c r="F174" s="10" t="n"/>
      <c r="G174" s="9">
        <f>IF(B174="","",IFERROR(INDEX(INVENTARIO!$F:$F,MATCH(B174,INVENTARIO!$A:$A,0)),""))</f>
        <v/>
      </c>
      <c r="H174" s="19">
        <f>IF(B174="","",G174*F174)</f>
        <v/>
      </c>
      <c r="I174" s="5" t="n"/>
    </row>
    <row r="175">
      <c r="A175" s="18" t="n"/>
      <c r="B175" s="5" t="n"/>
      <c r="C175" s="2">
        <f>IF(B175="","",IFERROR(INDEX(INVENTARIO!$B:$B,MATCH(B175,INVENTARIO!$A:$A,0)),"No encontrado"))</f>
        <v/>
      </c>
      <c r="D175" s="2">
        <f>IF(B175="","",IFERROR(INDEX(INVENTARIO!$C:$C,MATCH(B175,INVENTARIO!$A:$A,0)),""))</f>
        <v/>
      </c>
      <c r="E175" s="2">
        <f>IF(B175="","",IFERROR(INDEX(INVENTARIO!$D:$D,MATCH(B175,INVENTARIO!$A:$A,0)),""))</f>
        <v/>
      </c>
      <c r="F175" s="10" t="n"/>
      <c r="G175" s="9">
        <f>IF(B175="","",IFERROR(INDEX(INVENTARIO!$F:$F,MATCH(B175,INVENTARIO!$A:$A,0)),""))</f>
        <v/>
      </c>
      <c r="H175" s="19">
        <f>IF(B175="","",G175*F175)</f>
        <v/>
      </c>
      <c r="I175" s="5" t="n"/>
    </row>
    <row r="176">
      <c r="A176" s="18" t="n"/>
      <c r="B176" s="5" t="n"/>
      <c r="C176" s="2">
        <f>IF(B176="","",IFERROR(INDEX(INVENTARIO!$B:$B,MATCH(B176,INVENTARIO!$A:$A,0)),"No encontrado"))</f>
        <v/>
      </c>
      <c r="D176" s="2">
        <f>IF(B176="","",IFERROR(INDEX(INVENTARIO!$C:$C,MATCH(B176,INVENTARIO!$A:$A,0)),""))</f>
        <v/>
      </c>
      <c r="E176" s="2">
        <f>IF(B176="","",IFERROR(INDEX(INVENTARIO!$D:$D,MATCH(B176,INVENTARIO!$A:$A,0)),""))</f>
        <v/>
      </c>
      <c r="F176" s="10" t="n"/>
      <c r="G176" s="9">
        <f>IF(B176="","",IFERROR(INDEX(INVENTARIO!$F:$F,MATCH(B176,INVENTARIO!$A:$A,0)),""))</f>
        <v/>
      </c>
      <c r="H176" s="19">
        <f>IF(B176="","",G176*F176)</f>
        <v/>
      </c>
      <c r="I176" s="5" t="n"/>
    </row>
    <row r="177">
      <c r="A177" s="18" t="n"/>
      <c r="B177" s="5" t="n"/>
      <c r="C177" s="2">
        <f>IF(B177="","",IFERROR(INDEX(INVENTARIO!$B:$B,MATCH(B177,INVENTARIO!$A:$A,0)),"No encontrado"))</f>
        <v/>
      </c>
      <c r="D177" s="2">
        <f>IF(B177="","",IFERROR(INDEX(INVENTARIO!$C:$C,MATCH(B177,INVENTARIO!$A:$A,0)),""))</f>
        <v/>
      </c>
      <c r="E177" s="2">
        <f>IF(B177="","",IFERROR(INDEX(INVENTARIO!$D:$D,MATCH(B177,INVENTARIO!$A:$A,0)),""))</f>
        <v/>
      </c>
      <c r="F177" s="10" t="n"/>
      <c r="G177" s="9">
        <f>IF(B177="","",IFERROR(INDEX(INVENTARIO!$F:$F,MATCH(B177,INVENTARIO!$A:$A,0)),""))</f>
        <v/>
      </c>
      <c r="H177" s="19">
        <f>IF(B177="","",G177*F177)</f>
        <v/>
      </c>
      <c r="I177" s="5" t="n"/>
    </row>
    <row r="178">
      <c r="A178" s="18" t="n"/>
      <c r="B178" s="5" t="n"/>
      <c r="C178" s="2">
        <f>IF(B178="","",IFERROR(INDEX(INVENTARIO!$B:$B,MATCH(B178,INVENTARIO!$A:$A,0)),"No encontrado"))</f>
        <v/>
      </c>
      <c r="D178" s="2">
        <f>IF(B178="","",IFERROR(INDEX(INVENTARIO!$C:$C,MATCH(B178,INVENTARIO!$A:$A,0)),""))</f>
        <v/>
      </c>
      <c r="E178" s="2">
        <f>IF(B178="","",IFERROR(INDEX(INVENTARIO!$D:$D,MATCH(B178,INVENTARIO!$A:$A,0)),""))</f>
        <v/>
      </c>
      <c r="F178" s="10" t="n"/>
      <c r="G178" s="9">
        <f>IF(B178="","",IFERROR(INDEX(INVENTARIO!$F:$F,MATCH(B178,INVENTARIO!$A:$A,0)),""))</f>
        <v/>
      </c>
      <c r="H178" s="19">
        <f>IF(B178="","",G178*F178)</f>
        <v/>
      </c>
      <c r="I178" s="5" t="n"/>
    </row>
    <row r="179">
      <c r="A179" s="18" t="n"/>
      <c r="B179" s="5" t="n"/>
      <c r="C179" s="2">
        <f>IF(B179="","",IFERROR(INDEX(INVENTARIO!$B:$B,MATCH(B179,INVENTARIO!$A:$A,0)),"No encontrado"))</f>
        <v/>
      </c>
      <c r="D179" s="2">
        <f>IF(B179="","",IFERROR(INDEX(INVENTARIO!$C:$C,MATCH(B179,INVENTARIO!$A:$A,0)),""))</f>
        <v/>
      </c>
      <c r="E179" s="2">
        <f>IF(B179="","",IFERROR(INDEX(INVENTARIO!$D:$D,MATCH(B179,INVENTARIO!$A:$A,0)),""))</f>
        <v/>
      </c>
      <c r="F179" s="10" t="n"/>
      <c r="G179" s="9">
        <f>IF(B179="","",IFERROR(INDEX(INVENTARIO!$F:$F,MATCH(B179,INVENTARIO!$A:$A,0)),""))</f>
        <v/>
      </c>
      <c r="H179" s="19">
        <f>IF(B179="","",G179*F179)</f>
        <v/>
      </c>
      <c r="I179" s="5" t="n"/>
    </row>
    <row r="180">
      <c r="A180" s="18" t="n"/>
      <c r="B180" s="5" t="n"/>
      <c r="C180" s="2">
        <f>IF(B180="","",IFERROR(INDEX(INVENTARIO!$B:$B,MATCH(B180,INVENTARIO!$A:$A,0)),"No encontrado"))</f>
        <v/>
      </c>
      <c r="D180" s="2">
        <f>IF(B180="","",IFERROR(INDEX(INVENTARIO!$C:$C,MATCH(B180,INVENTARIO!$A:$A,0)),""))</f>
        <v/>
      </c>
      <c r="E180" s="2">
        <f>IF(B180="","",IFERROR(INDEX(INVENTARIO!$D:$D,MATCH(B180,INVENTARIO!$A:$A,0)),""))</f>
        <v/>
      </c>
      <c r="F180" s="10" t="n"/>
      <c r="G180" s="9">
        <f>IF(B180="","",IFERROR(INDEX(INVENTARIO!$F:$F,MATCH(B180,INVENTARIO!$A:$A,0)),""))</f>
        <v/>
      </c>
      <c r="H180" s="19">
        <f>IF(B180="","",G180*F180)</f>
        <v/>
      </c>
      <c r="I180" s="5" t="n"/>
    </row>
    <row r="181">
      <c r="A181" s="18" t="n"/>
      <c r="B181" s="5" t="n"/>
      <c r="C181" s="2">
        <f>IF(B181="","",IFERROR(INDEX(INVENTARIO!$B:$B,MATCH(B181,INVENTARIO!$A:$A,0)),"No encontrado"))</f>
        <v/>
      </c>
      <c r="D181" s="2">
        <f>IF(B181="","",IFERROR(INDEX(INVENTARIO!$C:$C,MATCH(B181,INVENTARIO!$A:$A,0)),""))</f>
        <v/>
      </c>
      <c r="E181" s="2">
        <f>IF(B181="","",IFERROR(INDEX(INVENTARIO!$D:$D,MATCH(B181,INVENTARIO!$A:$A,0)),""))</f>
        <v/>
      </c>
      <c r="F181" s="10" t="n"/>
      <c r="G181" s="9">
        <f>IF(B181="","",IFERROR(INDEX(INVENTARIO!$F:$F,MATCH(B181,INVENTARIO!$A:$A,0)),""))</f>
        <v/>
      </c>
      <c r="H181" s="19">
        <f>IF(B181="","",G181*F181)</f>
        <v/>
      </c>
      <c r="I181" s="5" t="n"/>
    </row>
    <row r="182">
      <c r="A182" s="18" t="n"/>
      <c r="B182" s="5" t="n"/>
      <c r="C182" s="2">
        <f>IF(B182="","",IFERROR(INDEX(INVENTARIO!$B:$B,MATCH(B182,INVENTARIO!$A:$A,0)),"No encontrado"))</f>
        <v/>
      </c>
      <c r="D182" s="2">
        <f>IF(B182="","",IFERROR(INDEX(INVENTARIO!$C:$C,MATCH(B182,INVENTARIO!$A:$A,0)),""))</f>
        <v/>
      </c>
      <c r="E182" s="2">
        <f>IF(B182="","",IFERROR(INDEX(INVENTARIO!$D:$D,MATCH(B182,INVENTARIO!$A:$A,0)),""))</f>
        <v/>
      </c>
      <c r="F182" s="10" t="n"/>
      <c r="G182" s="9">
        <f>IF(B182="","",IFERROR(INDEX(INVENTARIO!$F:$F,MATCH(B182,INVENTARIO!$A:$A,0)),""))</f>
        <v/>
      </c>
      <c r="H182" s="19">
        <f>IF(B182="","",G182*F182)</f>
        <v/>
      </c>
      <c r="I182" s="5" t="n"/>
    </row>
    <row r="183">
      <c r="A183" s="18" t="n"/>
      <c r="B183" s="5" t="n"/>
      <c r="C183" s="2">
        <f>IF(B183="","",IFERROR(INDEX(INVENTARIO!$B:$B,MATCH(B183,INVENTARIO!$A:$A,0)),"No encontrado"))</f>
        <v/>
      </c>
      <c r="D183" s="2">
        <f>IF(B183="","",IFERROR(INDEX(INVENTARIO!$C:$C,MATCH(B183,INVENTARIO!$A:$A,0)),""))</f>
        <v/>
      </c>
      <c r="E183" s="2">
        <f>IF(B183="","",IFERROR(INDEX(INVENTARIO!$D:$D,MATCH(B183,INVENTARIO!$A:$A,0)),""))</f>
        <v/>
      </c>
      <c r="F183" s="10" t="n"/>
      <c r="G183" s="9">
        <f>IF(B183="","",IFERROR(INDEX(INVENTARIO!$F:$F,MATCH(B183,INVENTARIO!$A:$A,0)),""))</f>
        <v/>
      </c>
      <c r="H183" s="19">
        <f>IF(B183="","",G183*F183)</f>
        <v/>
      </c>
      <c r="I183" s="5" t="n"/>
    </row>
    <row r="184">
      <c r="A184" s="18" t="n"/>
      <c r="B184" s="5" t="n"/>
      <c r="C184" s="2">
        <f>IF(B184="","",IFERROR(INDEX(INVENTARIO!$B:$B,MATCH(B184,INVENTARIO!$A:$A,0)),"No encontrado"))</f>
        <v/>
      </c>
      <c r="D184" s="2">
        <f>IF(B184="","",IFERROR(INDEX(INVENTARIO!$C:$C,MATCH(B184,INVENTARIO!$A:$A,0)),""))</f>
        <v/>
      </c>
      <c r="E184" s="2">
        <f>IF(B184="","",IFERROR(INDEX(INVENTARIO!$D:$D,MATCH(B184,INVENTARIO!$A:$A,0)),""))</f>
        <v/>
      </c>
      <c r="F184" s="10" t="n"/>
      <c r="G184" s="9">
        <f>IF(B184="","",IFERROR(INDEX(INVENTARIO!$F:$F,MATCH(B184,INVENTARIO!$A:$A,0)),""))</f>
        <v/>
      </c>
      <c r="H184" s="19">
        <f>IF(B184="","",G184*F184)</f>
        <v/>
      </c>
      <c r="I184" s="5" t="n"/>
    </row>
    <row r="185">
      <c r="A185" s="18" t="n"/>
      <c r="B185" s="5" t="n"/>
      <c r="C185" s="2">
        <f>IF(B185="","",IFERROR(INDEX(INVENTARIO!$B:$B,MATCH(B185,INVENTARIO!$A:$A,0)),"No encontrado"))</f>
        <v/>
      </c>
      <c r="D185" s="2">
        <f>IF(B185="","",IFERROR(INDEX(INVENTARIO!$C:$C,MATCH(B185,INVENTARIO!$A:$A,0)),""))</f>
        <v/>
      </c>
      <c r="E185" s="2">
        <f>IF(B185="","",IFERROR(INDEX(INVENTARIO!$D:$D,MATCH(B185,INVENTARIO!$A:$A,0)),""))</f>
        <v/>
      </c>
      <c r="F185" s="10" t="n"/>
      <c r="G185" s="9">
        <f>IF(B185="","",IFERROR(INDEX(INVENTARIO!$F:$F,MATCH(B185,INVENTARIO!$A:$A,0)),""))</f>
        <v/>
      </c>
      <c r="H185" s="19">
        <f>IF(B185="","",G185*F185)</f>
        <v/>
      </c>
      <c r="I185" s="5" t="n"/>
    </row>
    <row r="186">
      <c r="A186" s="18" t="n"/>
      <c r="B186" s="5" t="n"/>
      <c r="C186" s="2">
        <f>IF(B186="","",IFERROR(INDEX(INVENTARIO!$B:$B,MATCH(B186,INVENTARIO!$A:$A,0)),"No encontrado"))</f>
        <v/>
      </c>
      <c r="D186" s="2">
        <f>IF(B186="","",IFERROR(INDEX(INVENTARIO!$C:$C,MATCH(B186,INVENTARIO!$A:$A,0)),""))</f>
        <v/>
      </c>
      <c r="E186" s="2">
        <f>IF(B186="","",IFERROR(INDEX(INVENTARIO!$D:$D,MATCH(B186,INVENTARIO!$A:$A,0)),""))</f>
        <v/>
      </c>
      <c r="F186" s="10" t="n"/>
      <c r="G186" s="9">
        <f>IF(B186="","",IFERROR(INDEX(INVENTARIO!$F:$F,MATCH(B186,INVENTARIO!$A:$A,0)),""))</f>
        <v/>
      </c>
      <c r="H186" s="19">
        <f>IF(B186="","",G186*F186)</f>
        <v/>
      </c>
      <c r="I186" s="5" t="n"/>
    </row>
    <row r="187">
      <c r="A187" s="18" t="n"/>
      <c r="B187" s="5" t="n"/>
      <c r="C187" s="2">
        <f>IF(B187="","",IFERROR(INDEX(INVENTARIO!$B:$B,MATCH(B187,INVENTARIO!$A:$A,0)),"No encontrado"))</f>
        <v/>
      </c>
      <c r="D187" s="2">
        <f>IF(B187="","",IFERROR(INDEX(INVENTARIO!$C:$C,MATCH(B187,INVENTARIO!$A:$A,0)),""))</f>
        <v/>
      </c>
      <c r="E187" s="2">
        <f>IF(B187="","",IFERROR(INDEX(INVENTARIO!$D:$D,MATCH(B187,INVENTARIO!$A:$A,0)),""))</f>
        <v/>
      </c>
      <c r="F187" s="10" t="n"/>
      <c r="G187" s="9">
        <f>IF(B187="","",IFERROR(INDEX(INVENTARIO!$F:$F,MATCH(B187,INVENTARIO!$A:$A,0)),""))</f>
        <v/>
      </c>
      <c r="H187" s="19">
        <f>IF(B187="","",G187*F187)</f>
        <v/>
      </c>
      <c r="I187" s="5" t="n"/>
    </row>
    <row r="188">
      <c r="A188" s="18" t="n"/>
      <c r="B188" s="5" t="n"/>
      <c r="C188" s="2">
        <f>IF(B188="","",IFERROR(INDEX(INVENTARIO!$B:$B,MATCH(B188,INVENTARIO!$A:$A,0)),"No encontrado"))</f>
        <v/>
      </c>
      <c r="D188" s="2">
        <f>IF(B188="","",IFERROR(INDEX(INVENTARIO!$C:$C,MATCH(B188,INVENTARIO!$A:$A,0)),""))</f>
        <v/>
      </c>
      <c r="E188" s="2">
        <f>IF(B188="","",IFERROR(INDEX(INVENTARIO!$D:$D,MATCH(B188,INVENTARIO!$A:$A,0)),""))</f>
        <v/>
      </c>
      <c r="F188" s="10" t="n"/>
      <c r="G188" s="9">
        <f>IF(B188="","",IFERROR(INDEX(INVENTARIO!$F:$F,MATCH(B188,INVENTARIO!$A:$A,0)),""))</f>
        <v/>
      </c>
      <c r="H188" s="19">
        <f>IF(B188="","",G188*F188)</f>
        <v/>
      </c>
      <c r="I188" s="5" t="n"/>
    </row>
    <row r="189">
      <c r="A189" s="18" t="n"/>
      <c r="B189" s="5" t="n"/>
      <c r="C189" s="2">
        <f>IF(B189="","",IFERROR(INDEX(INVENTARIO!$B:$B,MATCH(B189,INVENTARIO!$A:$A,0)),"No encontrado"))</f>
        <v/>
      </c>
      <c r="D189" s="2">
        <f>IF(B189="","",IFERROR(INDEX(INVENTARIO!$C:$C,MATCH(B189,INVENTARIO!$A:$A,0)),""))</f>
        <v/>
      </c>
      <c r="E189" s="2">
        <f>IF(B189="","",IFERROR(INDEX(INVENTARIO!$D:$D,MATCH(B189,INVENTARIO!$A:$A,0)),""))</f>
        <v/>
      </c>
      <c r="F189" s="10" t="n"/>
      <c r="G189" s="9">
        <f>IF(B189="","",IFERROR(INDEX(INVENTARIO!$F:$F,MATCH(B189,INVENTARIO!$A:$A,0)),""))</f>
        <v/>
      </c>
      <c r="H189" s="19">
        <f>IF(B189="","",G189*F189)</f>
        <v/>
      </c>
      <c r="I189" s="5" t="n"/>
    </row>
    <row r="190">
      <c r="A190" s="18" t="n"/>
      <c r="B190" s="5" t="n"/>
      <c r="C190" s="2">
        <f>IF(B190="","",IFERROR(INDEX(INVENTARIO!$B:$B,MATCH(B190,INVENTARIO!$A:$A,0)),"No encontrado"))</f>
        <v/>
      </c>
      <c r="D190" s="2">
        <f>IF(B190="","",IFERROR(INDEX(INVENTARIO!$C:$C,MATCH(B190,INVENTARIO!$A:$A,0)),""))</f>
        <v/>
      </c>
      <c r="E190" s="2">
        <f>IF(B190="","",IFERROR(INDEX(INVENTARIO!$D:$D,MATCH(B190,INVENTARIO!$A:$A,0)),""))</f>
        <v/>
      </c>
      <c r="F190" s="10" t="n"/>
      <c r="G190" s="9">
        <f>IF(B190="","",IFERROR(INDEX(INVENTARIO!$F:$F,MATCH(B190,INVENTARIO!$A:$A,0)),""))</f>
        <v/>
      </c>
      <c r="H190" s="19">
        <f>IF(B190="","",G190*F190)</f>
        <v/>
      </c>
      <c r="I190" s="5" t="n"/>
    </row>
    <row r="191">
      <c r="A191" s="18" t="n"/>
      <c r="B191" s="5" t="n"/>
      <c r="C191" s="2">
        <f>IF(B191="","",IFERROR(INDEX(INVENTARIO!$B:$B,MATCH(B191,INVENTARIO!$A:$A,0)),"No encontrado"))</f>
        <v/>
      </c>
      <c r="D191" s="2">
        <f>IF(B191="","",IFERROR(INDEX(INVENTARIO!$C:$C,MATCH(B191,INVENTARIO!$A:$A,0)),""))</f>
        <v/>
      </c>
      <c r="E191" s="2">
        <f>IF(B191="","",IFERROR(INDEX(INVENTARIO!$D:$D,MATCH(B191,INVENTARIO!$A:$A,0)),""))</f>
        <v/>
      </c>
      <c r="F191" s="10" t="n"/>
      <c r="G191" s="9">
        <f>IF(B191="","",IFERROR(INDEX(INVENTARIO!$F:$F,MATCH(B191,INVENTARIO!$A:$A,0)),""))</f>
        <v/>
      </c>
      <c r="H191" s="19">
        <f>IF(B191="","",G191*F191)</f>
        <v/>
      </c>
      <c r="I191" s="5" t="n"/>
    </row>
    <row r="192">
      <c r="A192" s="18" t="n"/>
      <c r="B192" s="5" t="n"/>
      <c r="C192" s="2">
        <f>IF(B192="","",IFERROR(INDEX(INVENTARIO!$B:$B,MATCH(B192,INVENTARIO!$A:$A,0)),"No encontrado"))</f>
        <v/>
      </c>
      <c r="D192" s="2">
        <f>IF(B192="","",IFERROR(INDEX(INVENTARIO!$C:$C,MATCH(B192,INVENTARIO!$A:$A,0)),""))</f>
        <v/>
      </c>
      <c r="E192" s="2">
        <f>IF(B192="","",IFERROR(INDEX(INVENTARIO!$D:$D,MATCH(B192,INVENTARIO!$A:$A,0)),""))</f>
        <v/>
      </c>
      <c r="F192" s="10" t="n"/>
      <c r="G192" s="9">
        <f>IF(B192="","",IFERROR(INDEX(INVENTARIO!$F:$F,MATCH(B192,INVENTARIO!$A:$A,0)),""))</f>
        <v/>
      </c>
      <c r="H192" s="19">
        <f>IF(B192="","",G192*F192)</f>
        <v/>
      </c>
      <c r="I192" s="5" t="n"/>
    </row>
    <row r="193">
      <c r="A193" s="18" t="n"/>
      <c r="B193" s="5" t="n"/>
      <c r="C193" s="2">
        <f>IF(B193="","",IFERROR(INDEX(INVENTARIO!$B:$B,MATCH(B193,INVENTARIO!$A:$A,0)),"No encontrado"))</f>
        <v/>
      </c>
      <c r="D193" s="2">
        <f>IF(B193="","",IFERROR(INDEX(INVENTARIO!$C:$C,MATCH(B193,INVENTARIO!$A:$A,0)),""))</f>
        <v/>
      </c>
      <c r="E193" s="2">
        <f>IF(B193="","",IFERROR(INDEX(INVENTARIO!$D:$D,MATCH(B193,INVENTARIO!$A:$A,0)),""))</f>
        <v/>
      </c>
      <c r="F193" s="10" t="n"/>
      <c r="G193" s="9">
        <f>IF(B193="","",IFERROR(INDEX(INVENTARIO!$F:$F,MATCH(B193,INVENTARIO!$A:$A,0)),""))</f>
        <v/>
      </c>
      <c r="H193" s="19">
        <f>IF(B193="","",G193*F193)</f>
        <v/>
      </c>
      <c r="I193" s="5" t="n"/>
    </row>
    <row r="194">
      <c r="A194" s="18" t="n"/>
      <c r="B194" s="5" t="n"/>
      <c r="C194" s="2">
        <f>IF(B194="","",IFERROR(INDEX(INVENTARIO!$B:$B,MATCH(B194,INVENTARIO!$A:$A,0)),"No encontrado"))</f>
        <v/>
      </c>
      <c r="D194" s="2">
        <f>IF(B194="","",IFERROR(INDEX(INVENTARIO!$C:$C,MATCH(B194,INVENTARIO!$A:$A,0)),""))</f>
        <v/>
      </c>
      <c r="E194" s="2">
        <f>IF(B194="","",IFERROR(INDEX(INVENTARIO!$D:$D,MATCH(B194,INVENTARIO!$A:$A,0)),""))</f>
        <v/>
      </c>
      <c r="F194" s="10" t="n"/>
      <c r="G194" s="9">
        <f>IF(B194="","",IFERROR(INDEX(INVENTARIO!$F:$F,MATCH(B194,INVENTARIO!$A:$A,0)),""))</f>
        <v/>
      </c>
      <c r="H194" s="19">
        <f>IF(B194="","",G194*F194)</f>
        <v/>
      </c>
      <c r="I194" s="5" t="n"/>
    </row>
    <row r="195">
      <c r="A195" s="18" t="n"/>
      <c r="B195" s="5" t="n"/>
      <c r="C195" s="2">
        <f>IF(B195="","",IFERROR(INDEX(INVENTARIO!$B:$B,MATCH(B195,INVENTARIO!$A:$A,0)),"No encontrado"))</f>
        <v/>
      </c>
      <c r="D195" s="2">
        <f>IF(B195="","",IFERROR(INDEX(INVENTARIO!$C:$C,MATCH(B195,INVENTARIO!$A:$A,0)),""))</f>
        <v/>
      </c>
      <c r="E195" s="2">
        <f>IF(B195="","",IFERROR(INDEX(INVENTARIO!$D:$D,MATCH(B195,INVENTARIO!$A:$A,0)),""))</f>
        <v/>
      </c>
      <c r="F195" s="10" t="n"/>
      <c r="G195" s="9">
        <f>IF(B195="","",IFERROR(INDEX(INVENTARIO!$F:$F,MATCH(B195,INVENTARIO!$A:$A,0)),""))</f>
        <v/>
      </c>
      <c r="H195" s="19">
        <f>IF(B195="","",G195*F195)</f>
        <v/>
      </c>
      <c r="I195" s="5" t="n"/>
    </row>
    <row r="196">
      <c r="A196" s="18" t="n"/>
      <c r="B196" s="5" t="n"/>
      <c r="C196" s="2">
        <f>IF(B196="","",IFERROR(INDEX(INVENTARIO!$B:$B,MATCH(B196,INVENTARIO!$A:$A,0)),"No encontrado"))</f>
        <v/>
      </c>
      <c r="D196" s="2">
        <f>IF(B196="","",IFERROR(INDEX(INVENTARIO!$C:$C,MATCH(B196,INVENTARIO!$A:$A,0)),""))</f>
        <v/>
      </c>
      <c r="E196" s="2">
        <f>IF(B196="","",IFERROR(INDEX(INVENTARIO!$D:$D,MATCH(B196,INVENTARIO!$A:$A,0)),""))</f>
        <v/>
      </c>
      <c r="F196" s="10" t="n"/>
      <c r="G196" s="9">
        <f>IF(B196="","",IFERROR(INDEX(INVENTARIO!$F:$F,MATCH(B196,INVENTARIO!$A:$A,0)),""))</f>
        <v/>
      </c>
      <c r="H196" s="19">
        <f>IF(B196="","",G196*F196)</f>
        <v/>
      </c>
      <c r="I196" s="5" t="n"/>
    </row>
    <row r="197">
      <c r="A197" s="18" t="n"/>
      <c r="B197" s="5" t="n"/>
      <c r="C197" s="2">
        <f>IF(B197="","",IFERROR(INDEX(INVENTARIO!$B:$B,MATCH(B197,INVENTARIO!$A:$A,0)),"No encontrado"))</f>
        <v/>
      </c>
      <c r="D197" s="2">
        <f>IF(B197="","",IFERROR(INDEX(INVENTARIO!$C:$C,MATCH(B197,INVENTARIO!$A:$A,0)),""))</f>
        <v/>
      </c>
      <c r="E197" s="2">
        <f>IF(B197="","",IFERROR(INDEX(INVENTARIO!$D:$D,MATCH(B197,INVENTARIO!$A:$A,0)),""))</f>
        <v/>
      </c>
      <c r="F197" s="10" t="n"/>
      <c r="G197" s="9">
        <f>IF(B197="","",IFERROR(INDEX(INVENTARIO!$F:$F,MATCH(B197,INVENTARIO!$A:$A,0)),""))</f>
        <v/>
      </c>
      <c r="H197" s="19">
        <f>IF(B197="","",G197*F197)</f>
        <v/>
      </c>
      <c r="I197" s="5" t="n"/>
    </row>
    <row r="198">
      <c r="A198" s="18" t="n"/>
      <c r="B198" s="5" t="n"/>
      <c r="C198" s="2">
        <f>IF(B198="","",IFERROR(INDEX(INVENTARIO!$B:$B,MATCH(B198,INVENTARIO!$A:$A,0)),"No encontrado"))</f>
        <v/>
      </c>
      <c r="D198" s="2">
        <f>IF(B198="","",IFERROR(INDEX(INVENTARIO!$C:$C,MATCH(B198,INVENTARIO!$A:$A,0)),""))</f>
        <v/>
      </c>
      <c r="E198" s="2">
        <f>IF(B198="","",IFERROR(INDEX(INVENTARIO!$D:$D,MATCH(B198,INVENTARIO!$A:$A,0)),""))</f>
        <v/>
      </c>
      <c r="F198" s="10" t="n"/>
      <c r="G198" s="9">
        <f>IF(B198="","",IFERROR(INDEX(INVENTARIO!$F:$F,MATCH(B198,INVENTARIO!$A:$A,0)),""))</f>
        <v/>
      </c>
      <c r="H198" s="19">
        <f>IF(B198="","",G198*F198)</f>
        <v/>
      </c>
      <c r="I198" s="5" t="n"/>
    </row>
    <row r="199">
      <c r="A199" s="18" t="n"/>
      <c r="B199" s="5" t="n"/>
      <c r="C199" s="2">
        <f>IF(B199="","",IFERROR(INDEX(INVENTARIO!$B:$B,MATCH(B199,INVENTARIO!$A:$A,0)),"No encontrado"))</f>
        <v/>
      </c>
      <c r="D199" s="2">
        <f>IF(B199="","",IFERROR(INDEX(INVENTARIO!$C:$C,MATCH(B199,INVENTARIO!$A:$A,0)),""))</f>
        <v/>
      </c>
      <c r="E199" s="2">
        <f>IF(B199="","",IFERROR(INDEX(INVENTARIO!$D:$D,MATCH(B199,INVENTARIO!$A:$A,0)),""))</f>
        <v/>
      </c>
      <c r="F199" s="10" t="n"/>
      <c r="G199" s="9">
        <f>IF(B199="","",IFERROR(INDEX(INVENTARIO!$F:$F,MATCH(B199,INVENTARIO!$A:$A,0)),""))</f>
        <v/>
      </c>
      <c r="H199" s="19">
        <f>IF(B199="","",G199*F199)</f>
        <v/>
      </c>
      <c r="I199" s="5" t="n"/>
    </row>
    <row r="200">
      <c r="A200" s="18" t="n"/>
      <c r="B200" s="5" t="n"/>
      <c r="C200" s="2">
        <f>IF(B200="","",IFERROR(INDEX(INVENTARIO!$B:$B,MATCH(B200,INVENTARIO!$A:$A,0)),"No encontrado"))</f>
        <v/>
      </c>
      <c r="D200" s="2">
        <f>IF(B200="","",IFERROR(INDEX(INVENTARIO!$C:$C,MATCH(B200,INVENTARIO!$A:$A,0)),""))</f>
        <v/>
      </c>
      <c r="E200" s="2">
        <f>IF(B200="","",IFERROR(INDEX(INVENTARIO!$D:$D,MATCH(B200,INVENTARIO!$A:$A,0)),""))</f>
        <v/>
      </c>
      <c r="F200" s="10" t="n"/>
      <c r="G200" s="9">
        <f>IF(B200="","",IFERROR(INDEX(INVENTARIO!$F:$F,MATCH(B200,INVENTARIO!$A:$A,0)),""))</f>
        <v/>
      </c>
      <c r="H200" s="19">
        <f>IF(B200="","",G200*F200)</f>
        <v/>
      </c>
      <c r="I200" s="5" t="n"/>
    </row>
    <row r="201">
      <c r="A201" s="18" t="n"/>
      <c r="B201" s="5" t="n"/>
      <c r="C201" s="2">
        <f>IF(B201="","",IFERROR(INDEX(INVENTARIO!$B:$B,MATCH(B201,INVENTARIO!$A:$A,0)),"No encontrado"))</f>
        <v/>
      </c>
      <c r="D201" s="2">
        <f>IF(B201="","",IFERROR(INDEX(INVENTARIO!$C:$C,MATCH(B201,INVENTARIO!$A:$A,0)),""))</f>
        <v/>
      </c>
      <c r="E201" s="2">
        <f>IF(B201="","",IFERROR(INDEX(INVENTARIO!$D:$D,MATCH(B201,INVENTARIO!$A:$A,0)),""))</f>
        <v/>
      </c>
      <c r="F201" s="10" t="n"/>
      <c r="G201" s="9">
        <f>IF(B201="","",IFERROR(INDEX(INVENTARIO!$F:$F,MATCH(B201,INVENTARIO!$A:$A,0)),""))</f>
        <v/>
      </c>
      <c r="H201" s="19">
        <f>IF(B201="","",G201*F201)</f>
        <v/>
      </c>
      <c r="I201" s="5" t="n"/>
    </row>
    <row r="202">
      <c r="A202" s="18" t="n"/>
      <c r="B202" s="5" t="n"/>
      <c r="C202" s="2">
        <f>IF(B202="","",IFERROR(INDEX(INVENTARIO!$B:$B,MATCH(B202,INVENTARIO!$A:$A,0)),"No encontrado"))</f>
        <v/>
      </c>
      <c r="D202" s="2">
        <f>IF(B202="","",IFERROR(INDEX(INVENTARIO!$C:$C,MATCH(B202,INVENTARIO!$A:$A,0)),""))</f>
        <v/>
      </c>
      <c r="E202" s="2">
        <f>IF(B202="","",IFERROR(INDEX(INVENTARIO!$D:$D,MATCH(B202,INVENTARIO!$A:$A,0)),""))</f>
        <v/>
      </c>
      <c r="F202" s="10" t="n"/>
      <c r="G202" s="9">
        <f>IF(B202="","",IFERROR(INDEX(INVENTARIO!$F:$F,MATCH(B202,INVENTARIO!$A:$A,0)),""))</f>
        <v/>
      </c>
      <c r="H202" s="19">
        <f>IF(B202="","",G202*F202)</f>
        <v/>
      </c>
      <c r="I202" s="5" t="n"/>
    </row>
    <row r="203">
      <c r="A203" s="18" t="n"/>
      <c r="B203" s="5" t="n"/>
      <c r="C203" s="2">
        <f>IF(B203="","",IFERROR(INDEX(INVENTARIO!$B:$B,MATCH(B203,INVENTARIO!$A:$A,0)),"No encontrado"))</f>
        <v/>
      </c>
      <c r="D203" s="2">
        <f>IF(B203="","",IFERROR(INDEX(INVENTARIO!$C:$C,MATCH(B203,INVENTARIO!$A:$A,0)),""))</f>
        <v/>
      </c>
      <c r="E203" s="2">
        <f>IF(B203="","",IFERROR(INDEX(INVENTARIO!$D:$D,MATCH(B203,INVENTARIO!$A:$A,0)),""))</f>
        <v/>
      </c>
      <c r="F203" s="10" t="n"/>
      <c r="G203" s="9">
        <f>IF(B203="","",IFERROR(INDEX(INVENTARIO!$F:$F,MATCH(B203,INVENTARIO!$A:$A,0)),""))</f>
        <v/>
      </c>
      <c r="H203" s="19">
        <f>IF(B203="","",G203*F203)</f>
        <v/>
      </c>
      <c r="I203" s="5" t="n"/>
    </row>
    <row r="204">
      <c r="A204" s="18" t="n"/>
      <c r="B204" s="5" t="n"/>
      <c r="C204" s="2">
        <f>IF(B204="","",IFERROR(INDEX(INVENTARIO!$B:$B,MATCH(B204,INVENTARIO!$A:$A,0)),"No encontrado"))</f>
        <v/>
      </c>
      <c r="D204" s="2">
        <f>IF(B204="","",IFERROR(INDEX(INVENTARIO!$C:$C,MATCH(B204,INVENTARIO!$A:$A,0)),""))</f>
        <v/>
      </c>
      <c r="E204" s="2">
        <f>IF(B204="","",IFERROR(INDEX(INVENTARIO!$D:$D,MATCH(B204,INVENTARIO!$A:$A,0)),""))</f>
        <v/>
      </c>
      <c r="F204" s="10" t="n"/>
      <c r="G204" s="9">
        <f>IF(B204="","",IFERROR(INDEX(INVENTARIO!$F:$F,MATCH(B204,INVENTARIO!$A:$A,0)),""))</f>
        <v/>
      </c>
      <c r="H204" s="19">
        <f>IF(B204="","",G204*F204)</f>
        <v/>
      </c>
      <c r="I204" s="5" t="n"/>
    </row>
    <row r="206" ht="15.75" customHeight="1">
      <c r="A206" s="24" t="inlineStr">
        <is>
          <t>TOTAL VENDIDO (todo el historial)</t>
        </is>
      </c>
      <c r="H206" s="17">
        <f>SUM(H5:H204)</f>
        <v/>
      </c>
    </row>
    <row r="208">
      <c r="A208" s="23" t="inlineStr">
        <is>
          <t>Instrucciones: cada vez que cierres una venta, agrega una fila aquí con fecha, código y cantidad. Lo demás se llena solo.</t>
        </is>
      </c>
    </row>
    <row r="211" ht="20.25" customHeight="1">
      <c r="A211" s="22" t="inlineStr">
        <is>
          <t>RESUMEN: CUÁNTO SE HA VENDIDO DE CADA PRENDA</t>
        </is>
      </c>
    </row>
    <row r="212">
      <c r="A212" s="1" t="inlineStr">
        <is>
          <t>CODIGO</t>
        </is>
      </c>
      <c r="B212" s="1" t="inlineStr">
        <is>
          <t>PRENDA</t>
        </is>
      </c>
      <c r="C212" s="1" t="inlineStr">
        <is>
          <t>CANTIDAD VENDIDA</t>
        </is>
      </c>
      <c r="D212" s="1" t="inlineStr">
        <is>
          <t>TOTAL EN $</t>
        </is>
      </c>
    </row>
    <row r="213">
      <c r="A213" s="2">
        <f>IF(INVENTARIO!A4="","",INVENTARIO!A4)</f>
        <v/>
      </c>
      <c r="B213" s="2">
        <f>IF(INVENTARIO!A4="","",INVENTARIO!B4&amp;" - "&amp;INVENTARIO!C4&amp;" "&amp;INVENTARIO!D4)</f>
        <v/>
      </c>
      <c r="C213" s="3">
        <f>IF(INVENTARIO!A4="","",SUMIFS($F$5:$F$204,$B$5:$B$204,INVENTARIO!A4))</f>
        <v/>
      </c>
      <c r="D213" s="4">
        <f>IF(INVENTARIO!A4="","",SUMIFS($H$5:$H$204,$B$5:$B$204,INVENTARIO!A4))</f>
        <v/>
      </c>
    </row>
    <row r="214">
      <c r="A214" s="2">
        <f>IF(INVENTARIO!A5="","",INVENTARIO!A5)</f>
        <v/>
      </c>
      <c r="B214" s="2">
        <f>IF(INVENTARIO!A5="","",INVENTARIO!B5&amp;" - "&amp;INVENTARIO!C5&amp;" "&amp;INVENTARIO!D5)</f>
        <v/>
      </c>
      <c r="C214" s="3">
        <f>IF(INVENTARIO!A5="","",SUMIFS($F$5:$F$204,$B$5:$B$204,INVENTARIO!A5))</f>
        <v/>
      </c>
      <c r="D214" s="4">
        <f>IF(INVENTARIO!A5="","",SUMIFS($H$5:$H$204,$B$5:$B$204,INVENTARIO!A5))</f>
        <v/>
      </c>
    </row>
    <row r="215">
      <c r="A215" s="2">
        <f>IF(INVENTARIO!A6="","",INVENTARIO!A6)</f>
        <v/>
      </c>
      <c r="B215" s="2">
        <f>IF(INVENTARIO!A6="","",INVENTARIO!B6&amp;" - "&amp;INVENTARIO!C6&amp;" "&amp;INVENTARIO!D6)</f>
        <v/>
      </c>
      <c r="C215" s="3">
        <f>IF(INVENTARIO!A6="","",SUMIFS($F$5:$F$204,$B$5:$B$204,INVENTARIO!A6))</f>
        <v/>
      </c>
      <c r="D215" s="4">
        <f>IF(INVENTARIO!A6="","",SUMIFS($H$5:$H$204,$B$5:$B$204,INVENTARIO!A6))</f>
        <v/>
      </c>
    </row>
    <row r="216">
      <c r="A216" s="2">
        <f>IF(INVENTARIO!A7="","",INVENTARIO!A7)</f>
        <v/>
      </c>
      <c r="B216" s="2">
        <f>IF(INVENTARIO!A7="","",INVENTARIO!B7&amp;" - "&amp;INVENTARIO!C7&amp;" "&amp;INVENTARIO!D7)</f>
        <v/>
      </c>
      <c r="C216" s="3">
        <f>IF(INVENTARIO!A7="","",SUMIFS($F$5:$F$204,$B$5:$B$204,INVENTARIO!A7))</f>
        <v/>
      </c>
      <c r="D216" s="4">
        <f>IF(INVENTARIO!A7="","",SUMIFS($H$5:$H$204,$B$5:$B$204,INVENTARIO!A7))</f>
        <v/>
      </c>
    </row>
    <row r="217">
      <c r="A217" s="2">
        <f>IF(INVENTARIO!A8="","",INVENTARIO!A8)</f>
        <v/>
      </c>
      <c r="B217" s="2">
        <f>IF(INVENTARIO!A8="","",INVENTARIO!B8&amp;" - "&amp;INVENTARIO!C8&amp;" "&amp;INVENTARIO!D8)</f>
        <v/>
      </c>
      <c r="C217" s="3">
        <f>IF(INVENTARIO!A8="","",SUMIFS($F$5:$F$204,$B$5:$B$204,INVENTARIO!A8))</f>
        <v/>
      </c>
      <c r="D217" s="4">
        <f>IF(INVENTARIO!A8="","",SUMIFS($H$5:$H$204,$B$5:$B$204,INVENTARIO!A8))</f>
        <v/>
      </c>
    </row>
    <row r="218">
      <c r="A218" s="2">
        <f>IF(INVENTARIO!A9="","",INVENTARIO!A9)</f>
        <v/>
      </c>
      <c r="B218" s="2">
        <f>IF(INVENTARIO!A9="","",INVENTARIO!B9&amp;" - "&amp;INVENTARIO!C9&amp;" "&amp;INVENTARIO!D9)</f>
        <v/>
      </c>
      <c r="C218" s="3">
        <f>IF(INVENTARIO!A9="","",SUMIFS($F$5:$F$204,$B$5:$B$204,INVENTARIO!A9))</f>
        <v/>
      </c>
      <c r="D218" s="4">
        <f>IF(INVENTARIO!A9="","",SUMIFS($H$5:$H$204,$B$5:$B$204,INVENTARIO!A9))</f>
        <v/>
      </c>
    </row>
    <row r="219">
      <c r="A219" s="2">
        <f>IF(INVENTARIO!A10="","",INVENTARIO!A10)</f>
        <v/>
      </c>
      <c r="B219" s="2">
        <f>IF(INVENTARIO!A10="","",INVENTARIO!B10&amp;" - "&amp;INVENTARIO!C10&amp;" "&amp;INVENTARIO!D10)</f>
        <v/>
      </c>
      <c r="C219" s="3">
        <f>IF(INVENTARIO!A10="","",SUMIFS($F$5:$F$204,$B$5:$B$204,INVENTARIO!A10))</f>
        <v/>
      </c>
      <c r="D219" s="4">
        <f>IF(INVENTARIO!A10="","",SUMIFS($H$5:$H$204,$B$5:$B$204,INVENTARIO!A10))</f>
        <v/>
      </c>
    </row>
    <row r="220">
      <c r="A220" s="2">
        <f>IF(INVENTARIO!A11="","",INVENTARIO!A11)</f>
        <v/>
      </c>
      <c r="B220" s="2">
        <f>IF(INVENTARIO!A11="","",INVENTARIO!B11&amp;" - "&amp;INVENTARIO!C11&amp;" "&amp;INVENTARIO!D11)</f>
        <v/>
      </c>
      <c r="C220" s="3">
        <f>IF(INVENTARIO!A11="","",SUMIFS($F$5:$F$204,$B$5:$B$204,INVENTARIO!A11))</f>
        <v/>
      </c>
      <c r="D220" s="4">
        <f>IF(INVENTARIO!A11="","",SUMIFS($H$5:$H$204,$B$5:$B$204,INVENTARIO!A11))</f>
        <v/>
      </c>
    </row>
    <row r="221">
      <c r="A221" s="2">
        <f>IF(INVENTARIO!A12="","",INVENTARIO!A12)</f>
        <v/>
      </c>
      <c r="B221" s="2">
        <f>IF(INVENTARIO!A12="","",INVENTARIO!B12&amp;" - "&amp;INVENTARIO!C12&amp;" "&amp;INVENTARIO!D12)</f>
        <v/>
      </c>
      <c r="C221" s="3">
        <f>IF(INVENTARIO!A12="","",SUMIFS($F$5:$F$204,$B$5:$B$204,INVENTARIO!A12))</f>
        <v/>
      </c>
      <c r="D221" s="4">
        <f>IF(INVENTARIO!A12="","",SUMIFS($H$5:$H$204,$B$5:$B$204,INVENTARIO!A12))</f>
        <v/>
      </c>
    </row>
    <row r="222">
      <c r="A222" s="2">
        <f>IF(INVENTARIO!A13="","",INVENTARIO!A13)</f>
        <v/>
      </c>
      <c r="B222" s="2">
        <f>IF(INVENTARIO!A13="","",INVENTARIO!B13&amp;" - "&amp;INVENTARIO!C13&amp;" "&amp;INVENTARIO!D13)</f>
        <v/>
      </c>
      <c r="C222" s="3">
        <f>IF(INVENTARIO!A13="","",SUMIFS($F$5:$F$204,$B$5:$B$204,INVENTARIO!A13))</f>
        <v/>
      </c>
      <c r="D222" s="4">
        <f>IF(INVENTARIO!A13="","",SUMIFS($H$5:$H$204,$B$5:$B$204,INVENTARIO!A13))</f>
        <v/>
      </c>
    </row>
    <row r="223">
      <c r="A223" s="2">
        <f>IF(INVENTARIO!A14="","",INVENTARIO!A14)</f>
        <v/>
      </c>
      <c r="B223" s="2">
        <f>IF(INVENTARIO!A14="","",INVENTARIO!B14&amp;" - "&amp;INVENTARIO!C14&amp;" "&amp;INVENTARIO!D14)</f>
        <v/>
      </c>
      <c r="C223" s="3">
        <f>IF(INVENTARIO!A14="","",SUMIFS($F$5:$F$204,$B$5:$B$204,INVENTARIO!A14))</f>
        <v/>
      </c>
      <c r="D223" s="4">
        <f>IF(INVENTARIO!A14="","",SUMIFS($H$5:$H$204,$B$5:$B$204,INVENTARIO!A14))</f>
        <v/>
      </c>
    </row>
    <row r="224">
      <c r="A224" s="2">
        <f>IF(INVENTARIO!A15="","",INVENTARIO!A15)</f>
        <v/>
      </c>
      <c r="B224" s="2">
        <f>IF(INVENTARIO!A15="","",INVENTARIO!B15&amp;" - "&amp;INVENTARIO!C15&amp;" "&amp;INVENTARIO!D15)</f>
        <v/>
      </c>
      <c r="C224" s="3">
        <f>IF(INVENTARIO!A15="","",SUMIFS($F$5:$F$204,$B$5:$B$204,INVENTARIO!A15))</f>
        <v/>
      </c>
      <c r="D224" s="4">
        <f>IF(INVENTARIO!A15="","",SUMIFS($H$5:$H$204,$B$5:$B$204,INVENTARIO!A15))</f>
        <v/>
      </c>
    </row>
    <row r="225">
      <c r="A225" s="2">
        <f>IF(INVENTARIO!A16="","",INVENTARIO!A16)</f>
        <v/>
      </c>
      <c r="B225" s="2">
        <f>IF(INVENTARIO!A16="","",INVENTARIO!B16&amp;" - "&amp;INVENTARIO!C16&amp;" "&amp;INVENTARIO!D16)</f>
        <v/>
      </c>
      <c r="C225" s="3">
        <f>IF(INVENTARIO!A16="","",SUMIFS($F$5:$F$204,$B$5:$B$204,INVENTARIO!A16))</f>
        <v/>
      </c>
      <c r="D225" s="4">
        <f>IF(INVENTARIO!A16="","",SUMIFS($H$5:$H$204,$B$5:$B$204,INVENTARIO!A16))</f>
        <v/>
      </c>
    </row>
    <row r="226">
      <c r="A226" s="2">
        <f>IF(INVENTARIO!A17="","",INVENTARIO!A17)</f>
        <v/>
      </c>
      <c r="B226" s="2">
        <f>IF(INVENTARIO!A17="","",INVENTARIO!B17&amp;" - "&amp;INVENTARIO!C17&amp;" "&amp;INVENTARIO!D17)</f>
        <v/>
      </c>
      <c r="C226" s="3">
        <f>IF(INVENTARIO!A17="","",SUMIFS($F$5:$F$204,$B$5:$B$204,INVENTARIO!A17))</f>
        <v/>
      </c>
      <c r="D226" s="4">
        <f>IF(INVENTARIO!A17="","",SUMIFS($H$5:$H$204,$B$5:$B$204,INVENTARIO!A17))</f>
        <v/>
      </c>
    </row>
    <row r="227">
      <c r="A227" s="2">
        <f>IF(INVENTARIO!A18="","",INVENTARIO!A18)</f>
        <v/>
      </c>
      <c r="B227" s="2">
        <f>IF(INVENTARIO!A18="","",INVENTARIO!B18&amp;" - "&amp;INVENTARIO!C18&amp;" "&amp;INVENTARIO!D18)</f>
        <v/>
      </c>
      <c r="C227" s="3">
        <f>IF(INVENTARIO!A18="","",SUMIFS($F$5:$F$204,$B$5:$B$204,INVENTARIO!A18))</f>
        <v/>
      </c>
      <c r="D227" s="4">
        <f>IF(INVENTARIO!A18="","",SUMIFS($H$5:$H$204,$B$5:$B$204,INVENTARIO!A18))</f>
        <v/>
      </c>
    </row>
    <row r="228">
      <c r="A228" s="2">
        <f>IF(INVENTARIO!A19="","",INVENTARIO!A19)</f>
        <v/>
      </c>
      <c r="B228" s="2">
        <f>IF(INVENTARIO!A19="","",INVENTARIO!B19&amp;" - "&amp;INVENTARIO!C19&amp;" "&amp;INVENTARIO!D19)</f>
        <v/>
      </c>
      <c r="C228" s="3">
        <f>IF(INVENTARIO!A19="","",SUMIFS($F$5:$F$204,$B$5:$B$204,INVENTARIO!A19))</f>
        <v/>
      </c>
      <c r="D228" s="4">
        <f>IF(INVENTARIO!A19="","",SUMIFS($H$5:$H$204,$B$5:$B$204,INVENTARIO!A19))</f>
        <v/>
      </c>
    </row>
    <row r="229">
      <c r="A229" s="2">
        <f>IF(INVENTARIO!A20="","",INVENTARIO!A20)</f>
        <v/>
      </c>
      <c r="B229" s="2">
        <f>IF(INVENTARIO!A20="","",INVENTARIO!B20&amp;" - "&amp;INVENTARIO!C20&amp;" "&amp;INVENTARIO!D20)</f>
        <v/>
      </c>
      <c r="C229" s="3">
        <f>IF(INVENTARIO!A20="","",SUMIFS($F$5:$F$204,$B$5:$B$204,INVENTARIO!A20))</f>
        <v/>
      </c>
      <c r="D229" s="4">
        <f>IF(INVENTARIO!A20="","",SUMIFS($H$5:$H$204,$B$5:$B$204,INVENTARIO!A20))</f>
        <v/>
      </c>
    </row>
    <row r="230">
      <c r="A230" s="2">
        <f>IF(INVENTARIO!A21="","",INVENTARIO!A21)</f>
        <v/>
      </c>
      <c r="B230" s="2">
        <f>IF(INVENTARIO!A21="","",INVENTARIO!B21&amp;" - "&amp;INVENTARIO!C21&amp;" "&amp;INVENTARIO!D21)</f>
        <v/>
      </c>
      <c r="C230" s="3">
        <f>IF(INVENTARIO!A21="","",SUMIFS($F$5:$F$204,$B$5:$B$204,INVENTARIO!A21))</f>
        <v/>
      </c>
      <c r="D230" s="4">
        <f>IF(INVENTARIO!A21="","",SUMIFS($H$5:$H$204,$B$5:$B$204,INVENTARIO!A21))</f>
        <v/>
      </c>
    </row>
    <row r="231">
      <c r="A231" s="2">
        <f>IF(INVENTARIO!A22="","",INVENTARIO!A22)</f>
        <v/>
      </c>
      <c r="B231" s="2">
        <f>IF(INVENTARIO!A22="","",INVENTARIO!B22&amp;" - "&amp;INVENTARIO!C22&amp;" "&amp;INVENTARIO!D22)</f>
        <v/>
      </c>
      <c r="C231" s="3">
        <f>IF(INVENTARIO!A22="","",SUMIFS($F$5:$F$204,$B$5:$B$204,INVENTARIO!A22))</f>
        <v/>
      </c>
      <c r="D231" s="4">
        <f>IF(INVENTARIO!A22="","",SUMIFS($H$5:$H$204,$B$5:$B$204,INVENTARIO!A22))</f>
        <v/>
      </c>
    </row>
    <row r="232">
      <c r="A232" s="2">
        <f>IF(INVENTARIO!A23="","",INVENTARIO!A23)</f>
        <v/>
      </c>
      <c r="B232" s="2">
        <f>IF(INVENTARIO!A23="","",INVENTARIO!B23&amp;" - "&amp;INVENTARIO!C23&amp;" "&amp;INVENTARIO!D23)</f>
        <v/>
      </c>
      <c r="C232" s="3">
        <f>IF(INVENTARIO!A23="","",SUMIFS($F$5:$F$204,$B$5:$B$204,INVENTARIO!A23))</f>
        <v/>
      </c>
      <c r="D232" s="4">
        <f>IF(INVENTARIO!A23="","",SUMIFS($H$5:$H$204,$B$5:$B$204,INVENTARIO!A23))</f>
        <v/>
      </c>
    </row>
    <row r="233">
      <c r="A233" s="2">
        <f>IF(INVENTARIO!A24="","",INVENTARIO!A24)</f>
        <v/>
      </c>
      <c r="B233" s="2">
        <f>IF(INVENTARIO!A24="","",INVENTARIO!B24&amp;" - "&amp;INVENTARIO!C24&amp;" "&amp;INVENTARIO!D24)</f>
        <v/>
      </c>
      <c r="C233" s="3">
        <f>IF(INVENTARIO!A24="","",SUMIFS($F$5:$F$204,$B$5:$B$204,INVENTARIO!A24))</f>
        <v/>
      </c>
      <c r="D233" s="4">
        <f>IF(INVENTARIO!A24="","",SUMIFS($H$5:$H$204,$B$5:$B$204,INVENTARIO!A24))</f>
        <v/>
      </c>
    </row>
    <row r="234">
      <c r="A234" s="2">
        <f>IF(INVENTARIO!A25="","",INVENTARIO!A25)</f>
        <v/>
      </c>
      <c r="B234" s="2">
        <f>IF(INVENTARIO!A25="","",INVENTARIO!B25&amp;" - "&amp;INVENTARIO!C25&amp;" "&amp;INVENTARIO!D25)</f>
        <v/>
      </c>
      <c r="C234" s="3">
        <f>IF(INVENTARIO!A25="","",SUMIFS($F$5:$F$204,$B$5:$B$204,INVENTARIO!A25))</f>
        <v/>
      </c>
      <c r="D234" s="4">
        <f>IF(INVENTARIO!A25="","",SUMIFS($H$5:$H$204,$B$5:$B$204,INVENTARIO!A25))</f>
        <v/>
      </c>
    </row>
    <row r="235">
      <c r="A235" s="2">
        <f>IF(INVENTARIO!A26="","",INVENTARIO!A26)</f>
        <v/>
      </c>
      <c r="B235" s="2">
        <f>IF(INVENTARIO!A26="","",INVENTARIO!B26&amp;" - "&amp;INVENTARIO!C26&amp;" "&amp;INVENTARIO!D26)</f>
        <v/>
      </c>
      <c r="C235" s="3">
        <f>IF(INVENTARIO!A26="","",SUMIFS($F$5:$F$204,$B$5:$B$204,INVENTARIO!A26))</f>
        <v/>
      </c>
      <c r="D235" s="4">
        <f>IF(INVENTARIO!A26="","",SUMIFS($H$5:$H$204,$B$5:$B$204,INVENTARIO!A26))</f>
        <v/>
      </c>
    </row>
    <row r="236">
      <c r="A236" s="2">
        <f>IF(INVENTARIO!A27="","",INVENTARIO!A27)</f>
        <v/>
      </c>
      <c r="B236" s="2">
        <f>IF(INVENTARIO!A27="","",INVENTARIO!B27&amp;" - "&amp;INVENTARIO!C27&amp;" "&amp;INVENTARIO!D27)</f>
        <v/>
      </c>
      <c r="C236" s="3">
        <f>IF(INVENTARIO!A27="","",SUMIFS($F$5:$F$204,$B$5:$B$204,INVENTARIO!A27))</f>
        <v/>
      </c>
      <c r="D236" s="4">
        <f>IF(INVENTARIO!A27="","",SUMIFS($H$5:$H$204,$B$5:$B$204,INVENTARIO!A27))</f>
        <v/>
      </c>
    </row>
    <row r="237">
      <c r="A237" s="2">
        <f>IF(INVENTARIO!A28="","",INVENTARIO!A28)</f>
        <v/>
      </c>
      <c r="B237" s="2">
        <f>IF(INVENTARIO!A28="","",INVENTARIO!B28&amp;" - "&amp;INVENTARIO!C28&amp;" "&amp;INVENTARIO!D28)</f>
        <v/>
      </c>
      <c r="C237" s="3">
        <f>IF(INVENTARIO!A28="","",SUMIFS($F$5:$F$204,$B$5:$B$204,INVENTARIO!A28))</f>
        <v/>
      </c>
      <c r="D237" s="4">
        <f>IF(INVENTARIO!A28="","",SUMIFS($H$5:$H$204,$B$5:$B$204,INVENTARIO!A28))</f>
        <v/>
      </c>
    </row>
    <row r="238">
      <c r="A238" s="2">
        <f>IF(INVENTARIO!A29="","",INVENTARIO!A29)</f>
        <v/>
      </c>
      <c r="B238" s="2">
        <f>IF(INVENTARIO!A29="","",INVENTARIO!B29&amp;" - "&amp;INVENTARIO!C29&amp;" "&amp;INVENTARIO!D29)</f>
        <v/>
      </c>
      <c r="C238" s="3">
        <f>IF(INVENTARIO!A29="","",SUMIFS($F$5:$F$204,$B$5:$B$204,INVENTARIO!A29))</f>
        <v/>
      </c>
      <c r="D238" s="4">
        <f>IF(INVENTARIO!A29="","",SUMIFS($H$5:$H$204,$B$5:$B$204,INVENTARIO!A29))</f>
        <v/>
      </c>
    </row>
    <row r="239">
      <c r="A239" s="2">
        <f>IF(INVENTARIO!A118="","",INVENTARIO!A118)</f>
        <v/>
      </c>
      <c r="B239" s="2">
        <f>IF(INVENTARIO!A118="","",INVENTARIO!B118&amp;" - "&amp;INVENTARIO!C118&amp;" "&amp;INVENTARIO!D118)</f>
        <v/>
      </c>
      <c r="C239" s="3">
        <f>IF(INVENTARIO!A118="","",SUMIFS($F$5:$F$204,$B$5:$B$204,INVENTARIO!A118))</f>
        <v/>
      </c>
      <c r="D239" s="4">
        <f>IF(INVENTARIO!A118="","",SUMIFS($H$5:$H$204,$B$5:$B$204,INVENTARIO!A118))</f>
        <v/>
      </c>
    </row>
    <row r="241">
      <c r="A241" s="23" t="inlineStr">
        <is>
          <t>Este resumen se actualiza solo. Ordénalo de mayor a menor en "CANTIDAD VENDIDA" para ver qué prendas cortar de nuevo.</t>
        </is>
      </c>
    </row>
  </sheetData>
  <mergeCells count="6">
    <mergeCell ref="A211:D211"/>
    <mergeCell ref="A241:D241"/>
    <mergeCell ref="A2:I2"/>
    <mergeCell ref="A208:I208"/>
    <mergeCell ref="A206:G206"/>
    <mergeCell ref="A1:I1"/>
  </mergeCells>
  <pageMargins left="0.75" right="0.75" top="1" bottom="1" header="0.511811023622047" footer="0.511811023622047"/>
  <pageSetup orientation="portrait" paperSize="9" scale="6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2026-08-28T18:04:26Z</dcterms:created>
  <dcterms:modified xsi:type="dcterms:W3CDTF">2026-09-11T19:05:55Z</dcterms:modified>
  <cp:lastModifiedBy>JOSE MATEO GORDILLO RAMOS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0x0101005BC80781FDA34D4382431C22490055B1</vt:lpwstr>
  </property>
</Properties>
</file>